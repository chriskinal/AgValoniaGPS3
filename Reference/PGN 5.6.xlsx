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08" windowWidth="14808" windowHeight="8016"/>
  </bookViews>
  <sheets>
    <sheet name="PGN" sheetId="1" r:id="rId1"/>
  </sheets>
  <definedNames>
    <definedName name="_xlnm.Print_Area" localSheetId="0">PGN!$A$4:$Q$103</definedName>
  </definedNames>
  <calcPr calcId="145621"/>
</workbook>
</file>

<file path=xl/calcChain.xml><?xml version="1.0" encoding="utf-8"?>
<calcChain xmlns="http://schemas.openxmlformats.org/spreadsheetml/2006/main">
  <c r="G111" i="1" l="1"/>
  <c r="E111" i="1"/>
  <c r="D114" i="1" l="1"/>
  <c r="F114" i="1"/>
  <c r="E110" i="1"/>
  <c r="F83" i="1" l="1"/>
  <c r="F82" i="1"/>
  <c r="F81" i="1"/>
  <c r="F80" i="1"/>
  <c r="D83" i="1"/>
  <c r="D82" i="1"/>
  <c r="D81" i="1"/>
  <c r="D80" i="1"/>
  <c r="F92" i="1"/>
  <c r="F91" i="1"/>
  <c r="F90" i="1"/>
  <c r="F89" i="1"/>
  <c r="D92" i="1"/>
  <c r="D91" i="1"/>
  <c r="D90" i="1"/>
  <c r="D89" i="1"/>
  <c r="G110" i="1" l="1"/>
  <c r="G107" i="1" l="1"/>
  <c r="E107" i="1"/>
  <c r="G106" i="1" l="1"/>
  <c r="E106" i="1"/>
  <c r="G36" i="1" l="1"/>
  <c r="G34" i="1" l="1"/>
  <c r="G12" i="1" l="1"/>
  <c r="G24" i="1" l="1"/>
  <c r="G22" i="1"/>
  <c r="G19" i="1"/>
  <c r="G10" i="1"/>
  <c r="G8" i="1"/>
  <c r="G6" i="1"/>
</calcChain>
</file>

<file path=xl/comments1.xml><?xml version="1.0" encoding="utf-8"?>
<comments xmlns="http://schemas.openxmlformats.org/spreadsheetml/2006/main">
  <authors>
    <author>Matt</author>
  </authors>
  <commentList>
    <comment ref="K8" authorId="0">
      <text>
        <r>
          <rPr>
            <b/>
            <sz val="9"/>
            <color indexed="81"/>
            <rFont val="Tahoma"/>
            <family val="2"/>
          </rPr>
          <t>Matt:</t>
        </r>
        <r>
          <rPr>
            <sz val="9"/>
            <color indexed="81"/>
            <rFont val="Tahoma"/>
            <family val="2"/>
          </rPr>
          <t xml:space="preserve">
not used
rather low = min *1.2 in steer module firmware</t>
        </r>
      </text>
    </comment>
  </commentList>
</comments>
</file>

<file path=xl/sharedStrings.xml><?xml version="1.0" encoding="utf-8"?>
<sst xmlns="http://schemas.openxmlformats.org/spreadsheetml/2006/main" count="475" uniqueCount="347">
  <si>
    <t>Src</t>
  </si>
  <si>
    <t>Dec</t>
  </si>
  <si>
    <t>Byte 5</t>
  </si>
  <si>
    <t>Byte 6</t>
  </si>
  <si>
    <t>Byte 7</t>
  </si>
  <si>
    <t>Byte 8</t>
  </si>
  <si>
    <t>Byte 9</t>
  </si>
  <si>
    <t>Byte 10</t>
  </si>
  <si>
    <t>Byte 11</t>
  </si>
  <si>
    <t>Byte 12</t>
  </si>
  <si>
    <t>Byte 13</t>
  </si>
  <si>
    <t>7F</t>
  </si>
  <si>
    <t>FE</t>
  </si>
  <si>
    <t>Speed</t>
  </si>
  <si>
    <t>Status</t>
  </si>
  <si>
    <t>***</t>
  </si>
  <si>
    <t>SC1to8</t>
  </si>
  <si>
    <t>SC9to16</t>
  </si>
  <si>
    <t>CRC</t>
  </si>
  <si>
    <t>7E</t>
  </si>
  <si>
    <t>FD</t>
  </si>
  <si>
    <t>ActualSteerAngle * 100</t>
  </si>
  <si>
    <t>IMU Heading Hi/Lo</t>
  </si>
  <si>
    <t>IMU Roll Hi/Lo</t>
  </si>
  <si>
    <t>Switch</t>
  </si>
  <si>
    <t>PWMDisplay</t>
  </si>
  <si>
    <t>FC</t>
  </si>
  <si>
    <t>gainP</t>
  </si>
  <si>
    <t>highPWM</t>
  </si>
  <si>
    <t>lowPWM</t>
  </si>
  <si>
    <t>minPWM</t>
  </si>
  <si>
    <t>countsPerDeg</t>
  </si>
  <si>
    <t>steerOffset</t>
  </si>
  <si>
    <t>ackermanFix</t>
  </si>
  <si>
    <t>FB</t>
  </si>
  <si>
    <t>set0</t>
  </si>
  <si>
    <t>pulseCount</t>
  </si>
  <si>
    <t>minSpeed</t>
  </si>
  <si>
    <t>sett1</t>
  </si>
  <si>
    <t>EF</t>
  </si>
  <si>
    <t>uturn</t>
  </si>
  <si>
    <t>hydLift</t>
  </si>
  <si>
    <t>Tram</t>
  </si>
  <si>
    <t>EE</t>
  </si>
  <si>
    <t>7B</t>
  </si>
  <si>
    <t>EA</t>
  </si>
  <si>
    <t>Main</t>
  </si>
  <si>
    <t># sections</t>
  </si>
  <si>
    <t>D6</t>
  </si>
  <si>
    <t>IMU</t>
  </si>
  <si>
    <t>speed*10</t>
  </si>
  <si>
    <t>Geo Stop</t>
  </si>
  <si>
    <t>User1</t>
  </si>
  <si>
    <t>User2</t>
  </si>
  <si>
    <t>User3</t>
  </si>
  <si>
    <t>User4</t>
  </si>
  <si>
    <t>FA</t>
  </si>
  <si>
    <t>*</t>
  </si>
  <si>
    <t xml:space="preserve">* </t>
  </si>
  <si>
    <t>EC</t>
  </si>
  <si>
    <t>Tool Steering</t>
  </si>
  <si>
    <t>Low XTE</t>
  </si>
  <si>
    <t>High XTE</t>
  </si>
  <si>
    <t>Low Veh XTE</t>
  </si>
  <si>
    <t>High Veh XTE</t>
  </si>
  <si>
    <t>Tool Settings</t>
  </si>
  <si>
    <t>ED</t>
  </si>
  <si>
    <t>From Machine</t>
  </si>
  <si>
    <t>Speed * 10</t>
  </si>
  <si>
    <t>E9</t>
  </si>
  <si>
    <t>E8</t>
  </si>
  <si>
    <t>E7</t>
  </si>
  <si>
    <t>P</t>
  </si>
  <si>
    <t>Integral</t>
  </si>
  <si>
    <t>windup</t>
  </si>
  <si>
    <t>WAS Counts</t>
  </si>
  <si>
    <t>WAS Offset</t>
  </si>
  <si>
    <t>Max Steer</t>
  </si>
  <si>
    <t>Setting 0</t>
  </si>
  <si>
    <t>0=Invert WAS</t>
  </si>
  <si>
    <t>1=Invert Rel</t>
  </si>
  <si>
    <t>2=Inv Steer</t>
  </si>
  <si>
    <t>3=Convertor</t>
  </si>
  <si>
    <t>4=Motor Drv</t>
  </si>
  <si>
    <t>5=Danfoss</t>
  </si>
  <si>
    <t>Bit</t>
  </si>
  <si>
    <t>0=Differential</t>
  </si>
  <si>
    <t>0=IBT2</t>
  </si>
  <si>
    <t>0=off</t>
  </si>
  <si>
    <t>1 = Single</t>
  </si>
  <si>
    <t>1 = Cytron</t>
  </si>
  <si>
    <t>1=on</t>
  </si>
  <si>
    <t>1=inv</t>
  </si>
  <si>
    <t>From  Tool Steer</t>
  </si>
  <si>
    <t>E6</t>
  </si>
  <si>
    <t>Low Actual</t>
  </si>
  <si>
    <t xml:space="preserve">High Actual </t>
  </si>
  <si>
    <t>Low Error</t>
  </si>
  <si>
    <t>High Error</t>
  </si>
  <si>
    <t>Tool PWM</t>
  </si>
  <si>
    <t>Sensor Value</t>
  </si>
  <si>
    <t>D7</t>
  </si>
  <si>
    <t>Tool Antenna</t>
  </si>
  <si>
    <t>Main Antenna</t>
  </si>
  <si>
    <t>7D</t>
  </si>
  <si>
    <t>7C</t>
  </si>
  <si>
    <t>GPS</t>
  </si>
  <si>
    <t>00 00 56 00 00 7D</t>
  </si>
  <si>
    <t>00 00 56 00 00 7C</t>
  </si>
  <si>
    <t>Tool Config</t>
  </si>
  <si>
    <t>Pin Config</t>
  </si>
  <si>
    <t>From AutoSteer</t>
  </si>
  <si>
    <t>From Autosteer 2</t>
  </si>
  <si>
    <t>Steer Config</t>
  </si>
  <si>
    <t>Steer Settings</t>
  </si>
  <si>
    <t>Steer Data</t>
  </si>
  <si>
    <t>Machine Data</t>
  </si>
  <si>
    <t>Machine Config</t>
  </si>
  <si>
    <t>Switch Control</t>
  </si>
  <si>
    <t>PGN Name</t>
  </si>
  <si>
    <t>D3</t>
  </si>
  <si>
    <t>Heading</t>
  </si>
  <si>
    <t>Roll</t>
  </si>
  <si>
    <t>Gyro</t>
  </si>
  <si>
    <t>7A</t>
  </si>
  <si>
    <t>Steer Module</t>
  </si>
  <si>
    <t>Machine Module</t>
  </si>
  <si>
    <t>Tool GPS</t>
  </si>
  <si>
    <t>IP = 192.168.5.125</t>
  </si>
  <si>
    <t>Tool Steer</t>
  </si>
  <si>
    <t>Port = 10,000</t>
  </si>
  <si>
    <t>IP = 192.168.5.124</t>
  </si>
  <si>
    <t>Hello = na</t>
  </si>
  <si>
    <t>PGN</t>
  </si>
  <si>
    <t>From IMU</t>
  </si>
  <si>
    <t>IP = 192.168.5.126</t>
  </si>
  <si>
    <t>00 00 56 00 00 7E</t>
  </si>
  <si>
    <t>00 00 56 00 00 7B</t>
  </si>
  <si>
    <t>IP = 192.168.5.123</t>
  </si>
  <si>
    <t>IP = 192.168.5.121</t>
  </si>
  <si>
    <t>00 00 56 00 00 79</t>
  </si>
  <si>
    <t>00 00 56 00 00 7A</t>
  </si>
  <si>
    <t>IP = 192.168.5.122</t>
  </si>
  <si>
    <t>Port = 5123</t>
  </si>
  <si>
    <t>Port = 5121</t>
  </si>
  <si>
    <t>Port = 5124</t>
  </si>
  <si>
    <t>Port = 5122</t>
  </si>
  <si>
    <t>Hello = 126</t>
  </si>
  <si>
    <t>Hello = 123</t>
  </si>
  <si>
    <t>Hello = 121</t>
  </si>
  <si>
    <t>Hello = 125</t>
  </si>
  <si>
    <t>Hello = 122</t>
  </si>
  <si>
    <t>Port = 5126</t>
  </si>
  <si>
    <t>123,  7B</t>
  </si>
  <si>
    <t>126,  7E</t>
  </si>
  <si>
    <t>121, 79</t>
  </si>
  <si>
    <t>124,  7C</t>
  </si>
  <si>
    <t>Out</t>
  </si>
  <si>
    <t>In</t>
  </si>
  <si>
    <t>IP,  MAC</t>
  </si>
  <si>
    <t>Hello</t>
  </si>
  <si>
    <t>Subnet Change</t>
  </si>
  <si>
    <t>IP_One</t>
  </si>
  <si>
    <t>IP_Two</t>
  </si>
  <si>
    <t>IP_Three</t>
  </si>
  <si>
    <t>SectionDimensions</t>
  </si>
  <si>
    <t>EB</t>
  </si>
  <si>
    <t>1Hi</t>
  </si>
  <si>
    <t>2Hi</t>
  </si>
  <si>
    <t>3Hi</t>
  </si>
  <si>
    <t>4Hi</t>
  </si>
  <si>
    <t>5Hi</t>
  </si>
  <si>
    <t>6Hi</t>
  </si>
  <si>
    <t>7Hi</t>
  </si>
  <si>
    <t>8Hi</t>
  </si>
  <si>
    <t>9Hi</t>
  </si>
  <si>
    <t>10Hi</t>
  </si>
  <si>
    <t>11Hi</t>
  </si>
  <si>
    <t>12Hi</t>
  </si>
  <si>
    <t>13Hi</t>
  </si>
  <si>
    <t>14Hi</t>
  </si>
  <si>
    <t>15Hi</t>
  </si>
  <si>
    <t>16Hi</t>
  </si>
  <si>
    <t>NumSec</t>
  </si>
  <si>
    <t>xte</t>
  </si>
  <si>
    <t>Module ID</t>
  </si>
  <si>
    <t>Machine Reply</t>
  </si>
  <si>
    <t>Steer Reply</t>
  </si>
  <si>
    <t>IMU Reply</t>
  </si>
  <si>
    <t>GPS Reply</t>
  </si>
  <si>
    <t>Subnet Steer</t>
  </si>
  <si>
    <t>Subnet Machine</t>
  </si>
  <si>
    <t>Subnet IMU</t>
  </si>
  <si>
    <t>Subnet GPS</t>
  </si>
  <si>
    <t>ipOne</t>
  </si>
  <si>
    <t>ipTwo</t>
  </si>
  <si>
    <t>ipThree</t>
  </si>
  <si>
    <t>SrcOne</t>
  </si>
  <si>
    <t>SrcTwo</t>
  </si>
  <si>
    <t>SrcThree</t>
  </si>
  <si>
    <t>AngleLo</t>
  </si>
  <si>
    <t>AngleHi</t>
  </si>
  <si>
    <t>CountsLo</t>
  </si>
  <si>
    <t>CountsHi</t>
  </si>
  <si>
    <t>Switchbyte</t>
  </si>
  <si>
    <t>Scan request</t>
  </si>
  <si>
    <t>relayLo</t>
  </si>
  <si>
    <t>relayHi</t>
  </si>
  <si>
    <t>Hello Reply to AgIO</t>
  </si>
  <si>
    <t>Hello Sent To Module</t>
  </si>
  <si>
    <t>From imu/WAS</t>
  </si>
  <si>
    <t>ToAutosteer</t>
  </si>
  <si>
    <t>F9</t>
  </si>
  <si>
    <t>WAS_Lo</t>
  </si>
  <si>
    <t>WAS_Hi</t>
  </si>
  <si>
    <t>64 sections</t>
  </si>
  <si>
    <t>E5</t>
  </si>
  <si>
    <t>1to8</t>
  </si>
  <si>
    <t>9to16</t>
  </si>
  <si>
    <t>17to24</t>
  </si>
  <si>
    <t>25to32</t>
  </si>
  <si>
    <t>33to40</t>
  </si>
  <si>
    <t>41to48</t>
  </si>
  <si>
    <t>49to56</t>
  </si>
  <si>
    <t>57to64</t>
  </si>
  <si>
    <t>Lspeed</t>
  </si>
  <si>
    <t>Rspeed</t>
  </si>
  <si>
    <t>GPS/IMU/WAS</t>
  </si>
  <si>
    <t>`</t>
  </si>
  <si>
    <t>192.168.5.122</t>
  </si>
  <si>
    <t>Port 5122</t>
  </si>
  <si>
    <t>D4</t>
  </si>
  <si>
    <t>1 - no IMU</t>
  </si>
  <si>
    <t>Byte 3</t>
  </si>
  <si>
    <t>Byte 2</t>
  </si>
  <si>
    <t>(AgIO setting)</t>
  </si>
  <si>
    <t>(Send NMEA to UDP)</t>
  </si>
  <si>
    <t>13-20</t>
  </si>
  <si>
    <t>5-12</t>
  </si>
  <si>
    <t>21-25</t>
  </si>
  <si>
    <t>headingTrueDual</t>
  </si>
  <si>
    <t>longitudeSend</t>
  </si>
  <si>
    <t>latitudeSend</t>
  </si>
  <si>
    <t>headingTrue</t>
  </si>
  <si>
    <t>25-28</t>
  </si>
  <si>
    <t>29-32</t>
  </si>
  <si>
    <t>speed</t>
  </si>
  <si>
    <t>rool</t>
  </si>
  <si>
    <t>33-36</t>
  </si>
  <si>
    <t>37-40</t>
  </si>
  <si>
    <t>altitide</t>
  </si>
  <si>
    <t>satellitesTracked</t>
  </si>
  <si>
    <t>41-42</t>
  </si>
  <si>
    <t>fixQuality</t>
  </si>
  <si>
    <t>44-45</t>
  </si>
  <si>
    <t>hdopX100</t>
  </si>
  <si>
    <t>ageX100</t>
  </si>
  <si>
    <t>46-47</t>
  </si>
  <si>
    <t>48-49</t>
  </si>
  <si>
    <t>imuHeading</t>
  </si>
  <si>
    <t>50-51</t>
  </si>
  <si>
    <t>imuRoll</t>
  </si>
  <si>
    <t>imuPitch</t>
  </si>
  <si>
    <t>52-53</t>
  </si>
  <si>
    <t>54-55</t>
  </si>
  <si>
    <t>imuYawRate</t>
  </si>
  <si>
    <t>C8</t>
  </si>
  <si>
    <t>C9</t>
  </si>
  <si>
    <t>Byte 0
0x80 (128)</t>
  </si>
  <si>
    <t>Byte 1
0x81 (129)</t>
  </si>
  <si>
    <t>Byte 4 Data Len</t>
  </si>
  <si>
    <t>Scan Rqst Reply to AgIO</t>
  </si>
  <si>
    <t>don't know what ModuleID or the other bytes are used for</t>
  </si>
  <si>
    <t>CA</t>
  </si>
  <si>
    <t>bit0: rlyActiveHi
bit1:hydLiftEn</t>
  </si>
  <si>
    <t>raiseTime(s)</t>
  </si>
  <si>
    <t>lowerTime(s)</t>
  </si>
  <si>
    <t>hydEnable (n/u)</t>
  </si>
  <si>
    <t>Byte 14</t>
  </si>
  <si>
    <t>Byte 15</t>
  </si>
  <si>
    <t>Byte 16</t>
  </si>
  <si>
    <t>Byte 17</t>
  </si>
  <si>
    <t>Byte 18</t>
  </si>
  <si>
    <t>Byte 19</t>
  </si>
  <si>
    <t>defunct (not needed)</t>
  </si>
  <si>
    <t>2211 GPS1</t>
  </si>
  <si>
    <t>2222 GPS2</t>
  </si>
  <si>
    <t>2233 RTCM</t>
  </si>
  <si>
    <t>Byte 20</t>
  </si>
  <si>
    <t>Byte 21</t>
  </si>
  <si>
    <t>Byte 22</t>
  </si>
  <si>
    <t>Byte 23</t>
  </si>
  <si>
    <t>Byte 24</t>
  </si>
  <si>
    <t>Byte 25</t>
  </si>
  <si>
    <t>Byte 26</t>
  </si>
  <si>
    <t>Byte 27</t>
  </si>
  <si>
    <t>Byte 28</t>
  </si>
  <si>
    <t>Byte 29</t>
  </si>
  <si>
    <t>Byte 30</t>
  </si>
  <si>
    <t>Byte 31</t>
  </si>
  <si>
    <t>Byte 32</t>
  </si>
  <si>
    <t>Byte 33</t>
  </si>
  <si>
    <t>Byte 34</t>
  </si>
  <si>
    <t>Byte 35</t>
  </si>
  <si>
    <t>Byte 36</t>
  </si>
  <si>
    <t>Byte 37</t>
  </si>
  <si>
    <t>Byte 38</t>
  </si>
  <si>
    <t>bit0: 1 - outside of boundary</t>
  </si>
  <si>
    <t>0: off
1: down
2: up</t>
  </si>
  <si>
    <t>bit0: right
bit1: left</t>
  </si>
  <si>
    <t>** speed is m/s x10 **</t>
  </si>
  <si>
    <t>D0</t>
  </si>
  <si>
    <t>?</t>
  </si>
  <si>
    <t>pivot lat</t>
  </si>
  <si>
    <t>pivot long</t>
  </si>
  <si>
    <t>heading</t>
  </si>
  <si>
    <t>pivot alt</t>
  </si>
  <si>
    <t>-----&gt;</t>
  </si>
  <si>
    <t>Tony's 2023 Roll Corrected Position</t>
  </si>
  <si>
    <t>David's 2024 Roll Corrected Position</t>
  </si>
  <si>
    <t>long</t>
  </si>
  <si>
    <t>lat</t>
  </si>
  <si>
    <t>From AgIO (super broadcast)</t>
  </si>
  <si>
    <t>commandedSteerAngle * 100</t>
  </si>
  <si>
    <t>low byte</t>
  </si>
  <si>
    <t>high byte</t>
  </si>
  <si>
    <t>Product application volume</t>
  </si>
  <si>
    <t>** speed is km/hr x10 **</t>
  </si>
  <si>
    <t>msg len</t>
  </si>
  <si>
    <t>timeout (s)</t>
  </si>
  <si>
    <t>res</t>
  </si>
  <si>
    <t>ascii char 1</t>
  </si>
  <si>
    <t>ascii char 2</t>
  </si>
  <si>
    <t>Auto - Group 0</t>
  </si>
  <si>
    <t>Auto - Group 1</t>
  </si>
  <si>
    <t>On - Group 0</t>
  </si>
  <si>
    <t>Off - Group 0</t>
  </si>
  <si>
    <t>On - Group 1</t>
  </si>
  <si>
    <t>Off - Group 1</t>
  </si>
  <si>
    <t>All PGNs are "local" broadcasted (x.x.x.255) except Scan Request and Subnet Change are "super" broadcasted (255.255.255.255)</t>
  </si>
  <si>
    <t>Hardware banner msg</t>
  </si>
  <si>
    <t>DD</t>
  </si>
  <si>
    <t>display time</t>
  </si>
  <si>
    <t>0-alert(red), 1-other</t>
  </si>
  <si>
    <t>ascii char codeX</t>
  </si>
  <si>
    <t># chars + 2</t>
  </si>
  <si>
    <t>Andy&amp;Matt's custom FreeForm msg pop-up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</si>
</sst>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Arial"/>
      <family val="2"/>
    </font>
    <font>
      <sz val="11"/>
      <color rgb="FF444444"/>
      <name val="Arial"/>
      <family val="2"/>
    </font>
    <font>
      <sz val="11"/>
      <color rgb="FF9C6500"/>
      <name val="Arial"/>
      <family val="2"/>
    </font>
    <font>
      <sz val="11"/>
      <color rgb="FF006100"/>
      <name val="Arial"/>
      <family val="2"/>
    </font>
    <font>
      <b/>
      <sz val="11"/>
      <color rgb="FF9C6500"/>
      <name val="Arial"/>
      <family val="2"/>
    </font>
    <font>
      <b/>
      <sz val="11"/>
      <color rgb="FF00610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rgb="FF9C6500"/>
      <name val="Calibri"/>
      <family val="2"/>
      <charset val="1"/>
    </font>
    <font>
      <sz val="11"/>
      <color rgb="FF0061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5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CCCCCC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indexed="64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/>
      <top/>
      <bottom style="thin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CCCCCC"/>
      </left>
      <right style="thin">
        <color auto="1"/>
      </right>
      <top/>
      <bottom style="thin">
        <color rgb="FF000000"/>
      </bottom>
      <diagonal/>
    </border>
    <border>
      <left style="thin">
        <color rgb="FFCCCCCC"/>
      </left>
      <right style="thin">
        <color auto="1"/>
      </right>
      <top/>
      <bottom style="thin">
        <color rgb="FFCCCCCC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4" fillId="0" borderId="0"/>
    <xf numFmtId="0" fontId="16" fillId="5" borderId="0" applyBorder="0" applyProtection="0"/>
    <xf numFmtId="0" fontId="17" fillId="6" borderId="0" applyBorder="0" applyProtection="0"/>
  </cellStyleXfs>
  <cellXfs count="144">
    <xf numFmtId="0" fontId="0" fillId="0" borderId="0" xfId="0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 readingOrder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/>
    <xf numFmtId="0" fontId="1" fillId="0" borderId="7" xfId="0" applyFont="1" applyBorder="1"/>
    <xf numFmtId="0" fontId="6" fillId="3" borderId="2" xfId="2" applyFont="1" applyBorder="1" applyAlignment="1">
      <alignment horizontal="center" wrapText="1" readingOrder="1"/>
    </xf>
    <xf numFmtId="0" fontId="6" fillId="3" borderId="11" xfId="2" applyFont="1" applyBorder="1" applyAlignment="1">
      <alignment horizontal="center" readingOrder="1"/>
    </xf>
    <xf numFmtId="0" fontId="7" fillId="2" borderId="8" xfId="1" applyFont="1" applyBorder="1" applyAlignment="1">
      <alignment horizontal="center" wrapText="1" readingOrder="1"/>
    </xf>
    <xf numFmtId="0" fontId="7" fillId="2" borderId="12" xfId="1" applyFont="1" applyBorder="1" applyAlignment="1">
      <alignment horizontal="center" readingOrder="1"/>
    </xf>
    <xf numFmtId="0" fontId="1" fillId="0" borderId="0" xfId="0" applyFont="1" applyBorder="1" applyAlignment="1">
      <alignment horizontal="left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wrapText="1" readingOrder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 readingOrder="1"/>
    </xf>
    <xf numFmtId="0" fontId="4" fillId="0" borderId="3" xfId="0" applyFont="1" applyBorder="1" applyAlignment="1">
      <alignment horizontal="center" wrapText="1" readingOrder="1"/>
    </xf>
    <xf numFmtId="0" fontId="4" fillId="0" borderId="7" xfId="0" applyFont="1" applyBorder="1" applyAlignment="1">
      <alignment horizontal="center" wrapText="1" readingOrder="1"/>
    </xf>
    <xf numFmtId="0" fontId="6" fillId="3" borderId="0" xfId="2" applyFont="1" applyAlignment="1">
      <alignment horizontal="center" readingOrder="1"/>
    </xf>
    <xf numFmtId="0" fontId="7" fillId="2" borderId="7" xfId="1" applyFont="1" applyBorder="1" applyAlignment="1">
      <alignment horizontal="center" readingOrder="1"/>
    </xf>
    <xf numFmtId="0" fontId="6" fillId="3" borderId="2" xfId="2" applyFont="1" applyBorder="1" applyAlignment="1">
      <alignment horizontal="center" readingOrder="1"/>
    </xf>
    <xf numFmtId="0" fontId="7" fillId="2" borderId="9" xfId="1" applyFont="1" applyBorder="1" applyAlignment="1">
      <alignment horizontal="center" readingOrder="1"/>
    </xf>
    <xf numFmtId="0" fontId="6" fillId="3" borderId="0" xfId="2" applyFont="1" applyBorder="1" applyAlignment="1">
      <alignment horizontal="center" readingOrder="1"/>
    </xf>
    <xf numFmtId="0" fontId="7" fillId="2" borderId="0" xfId="1" applyFont="1" applyBorder="1" applyAlignment="1">
      <alignment horizontal="center" readingOrder="1"/>
    </xf>
    <xf numFmtId="0" fontId="6" fillId="3" borderId="6" xfId="2" applyFont="1" applyBorder="1" applyAlignment="1">
      <alignment horizontal="center" readingOrder="1"/>
    </xf>
    <xf numFmtId="0" fontId="7" fillId="2" borderId="10" xfId="1" applyFont="1" applyBorder="1" applyAlignment="1">
      <alignment horizontal="center" readingOrder="1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5" xfId="0" applyFont="1" applyBorder="1" applyAlignment="1">
      <alignment horizontal="right" readingOrder="1"/>
    </xf>
    <xf numFmtId="0" fontId="6" fillId="3" borderId="8" xfId="2" applyFont="1" applyBorder="1" applyAlignment="1">
      <alignment horizontal="center" wrapText="1" readingOrder="1"/>
    </xf>
    <xf numFmtId="0" fontId="6" fillId="3" borderId="12" xfId="2" applyFont="1" applyBorder="1" applyAlignment="1">
      <alignment horizontal="center" readingOrder="1"/>
    </xf>
    <xf numFmtId="0" fontId="6" fillId="3" borderId="7" xfId="2" applyFont="1" applyBorder="1" applyAlignment="1">
      <alignment horizontal="center" readingOrder="1"/>
    </xf>
    <xf numFmtId="0" fontId="6" fillId="3" borderId="9" xfId="2" applyFont="1" applyBorder="1" applyAlignment="1">
      <alignment horizontal="center" readingOrder="1"/>
    </xf>
    <xf numFmtId="0" fontId="6" fillId="3" borderId="10" xfId="2" applyFont="1" applyBorder="1" applyAlignment="1">
      <alignment horizontal="center" readingOrder="1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8" fillId="3" borderId="16" xfId="2" applyFont="1" applyBorder="1" applyAlignment="1">
      <alignment horizontal="center" readingOrder="1"/>
    </xf>
    <xf numFmtId="0" fontId="8" fillId="3" borderId="17" xfId="2" applyFont="1" applyBorder="1" applyAlignment="1">
      <alignment horizontal="center" readingOrder="1"/>
    </xf>
    <xf numFmtId="0" fontId="9" fillId="2" borderId="16" xfId="1" applyFont="1" applyBorder="1" applyAlignment="1">
      <alignment horizontal="center" readingOrder="1"/>
    </xf>
    <xf numFmtId="0" fontId="4" fillId="0" borderId="18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/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right"/>
    </xf>
    <xf numFmtId="0" fontId="6" fillId="3" borderId="16" xfId="2" applyFont="1" applyBorder="1" applyAlignment="1">
      <alignment horizontal="center" readingOrder="1"/>
    </xf>
    <xf numFmtId="0" fontId="6" fillId="3" borderId="17" xfId="2" applyFont="1" applyBorder="1" applyAlignment="1">
      <alignment horizontal="center" readingOrder="1"/>
    </xf>
    <xf numFmtId="0" fontId="7" fillId="2" borderId="16" xfId="1" applyFont="1" applyBorder="1" applyAlignment="1">
      <alignment horizontal="center" readingOrder="1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3" fontId="6" fillId="3" borderId="7" xfId="2" applyNumberFormat="1" applyFont="1" applyBorder="1" applyAlignment="1">
      <alignment horizontal="center" readingOrder="1"/>
    </xf>
    <xf numFmtId="0" fontId="4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9" xfId="0" applyFont="1" applyBorder="1"/>
    <xf numFmtId="0" fontId="4" fillId="0" borderId="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1" fillId="0" borderId="7" xfId="0" quotePrefix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 wrapText="1"/>
    </xf>
    <xf numFmtId="0" fontId="10" fillId="0" borderId="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readingOrder="1"/>
    </xf>
    <xf numFmtId="0" fontId="1" fillId="0" borderId="0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center" vertical="top" wrapText="1" readingOrder="1"/>
    </xf>
    <xf numFmtId="0" fontId="10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6" fillId="3" borderId="7" xfId="2" applyFont="1" applyBorder="1" applyAlignment="1">
      <alignment horizontal="center" readingOrder="1"/>
    </xf>
    <xf numFmtId="0" fontId="1" fillId="0" borderId="0" xfId="0" applyFont="1" applyAlignment="1">
      <alignment horizontal="center"/>
    </xf>
    <xf numFmtId="0" fontId="4" fillId="0" borderId="7" xfId="2" applyFont="1" applyFill="1" applyBorder="1" applyAlignment="1">
      <alignment horizontal="center" vertical="top" wrapText="1" readingOrder="1"/>
    </xf>
    <xf numFmtId="0" fontId="4" fillId="0" borderId="0" xfId="2" applyFont="1" applyFill="1" applyBorder="1" applyAlignment="1">
      <alignment horizontal="center" vertical="top" wrapText="1" readingOrder="1"/>
    </xf>
    <xf numFmtId="0" fontId="7" fillId="2" borderId="19" xfId="1" applyFont="1" applyBorder="1" applyAlignment="1">
      <alignment horizontal="center" readingOrder="1"/>
    </xf>
    <xf numFmtId="0" fontId="7" fillId="2" borderId="20" xfId="1" applyFont="1" applyBorder="1" applyAlignment="1">
      <alignment horizontal="center" wrapText="1" readingOrder="1"/>
    </xf>
    <xf numFmtId="0" fontId="7" fillId="2" borderId="21" xfId="1" applyFont="1" applyBorder="1" applyAlignment="1">
      <alignment horizontal="center" readingOrder="1"/>
    </xf>
    <xf numFmtId="0" fontId="7" fillId="2" borderId="22" xfId="1" applyFont="1" applyBorder="1" applyAlignment="1">
      <alignment horizontal="center" readingOrder="1"/>
    </xf>
    <xf numFmtId="0" fontId="7" fillId="2" borderId="23" xfId="1" applyFont="1" applyBorder="1" applyAlignment="1">
      <alignment horizontal="center" readingOrder="1"/>
    </xf>
    <xf numFmtId="0" fontId="7" fillId="2" borderId="24" xfId="1" applyFont="1" applyBorder="1" applyAlignment="1">
      <alignment horizontal="center" readingOrder="1"/>
    </xf>
    <xf numFmtId="0" fontId="6" fillId="3" borderId="19" xfId="2" applyFont="1" applyBorder="1" applyAlignment="1">
      <alignment horizontal="center" readingOrder="1"/>
    </xf>
    <xf numFmtId="0" fontId="1" fillId="0" borderId="0" xfId="0" applyFont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5" fillId="0" borderId="0" xfId="3" applyFont="1" applyBorder="1" applyAlignment="1">
      <alignment horizontal="center"/>
    </xf>
    <xf numFmtId="0" fontId="1" fillId="0" borderId="0" xfId="3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4" fillId="3" borderId="7" xfId="2" applyFont="1" applyBorder="1" applyAlignment="1">
      <alignment horizontal="center" vertical="top" wrapText="1" readingOrder="1"/>
    </xf>
    <xf numFmtId="0" fontId="11" fillId="0" borderId="19" xfId="0" applyFont="1" applyBorder="1" applyAlignment="1">
      <alignment horizontal="center" vertical="top" wrapText="1" readingOrder="1"/>
    </xf>
    <xf numFmtId="0" fontId="1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</cellXfs>
  <cellStyles count="6">
    <cellStyle name="Excel Built-in Good" xfId="5"/>
    <cellStyle name="Excel Built-in Neutral" xfId="4"/>
    <cellStyle name="Good" xfId="1" builtinId="26"/>
    <cellStyle name="Neutral" xfId="2" builtinId="28"/>
    <cellStyle name="Normal" xfId="0" builtinId="0"/>
    <cellStyle name="Normal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P114"/>
  <sheetViews>
    <sheetView tabSelected="1" zoomScaleNormal="100" workbookViewId="0">
      <pane ySplit="4" topLeftCell="A41" activePane="bottomLeft" state="frozen"/>
      <selection pane="bottomLeft" activeCell="C110" sqref="C110"/>
    </sheetView>
  </sheetViews>
  <sheetFormatPr defaultColWidth="9.109375" defaultRowHeight="13.8" x14ac:dyDescent="0.25"/>
  <cols>
    <col min="1" max="1" width="4.44140625" style="3" customWidth="1"/>
    <col min="2" max="2" width="26.44140625" style="7" customWidth="1"/>
    <col min="3" max="3" width="19.109375" style="44" customWidth="1"/>
    <col min="4" max="4" width="6" style="50" customWidth="1"/>
    <col min="5" max="5" width="5.109375" style="36" customWidth="1"/>
    <col min="6" max="6" width="5.5546875" style="37" customWidth="1"/>
    <col min="7" max="7" width="5.5546875" style="118" customWidth="1"/>
    <col min="8" max="8" width="10.6640625" style="14" customWidth="1"/>
    <col min="9" max="9" width="14.44140625" style="2" customWidth="1"/>
    <col min="10" max="10" width="17.6640625" style="1" customWidth="1"/>
    <col min="11" max="12" width="15.6640625" style="1" customWidth="1"/>
    <col min="13" max="16" width="14.44140625" style="1" customWidth="1"/>
    <col min="17" max="17" width="12.6640625" style="1" customWidth="1"/>
    <col min="18" max="18" width="11.5546875" style="74" customWidth="1"/>
    <col min="19" max="19" width="8.88671875" style="74" bestFit="1" customWidth="1"/>
    <col min="20" max="20" width="11.5546875" style="74" bestFit="1" customWidth="1"/>
    <col min="21" max="21" width="8.5546875" style="74" customWidth="1"/>
    <col min="22" max="22" width="8.5546875" style="74" bestFit="1" customWidth="1"/>
    <col min="23" max="23" width="12.21875" style="74" bestFit="1" customWidth="1"/>
    <col min="24" max="40" width="5.6640625" style="74" customWidth="1"/>
    <col min="41" max="16384" width="9.109375" style="3"/>
  </cols>
  <sheetData>
    <row r="1" spans="1:42" x14ac:dyDescent="0.25">
      <c r="A1" s="115"/>
      <c r="B1" s="7" t="s">
        <v>339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</row>
    <row r="2" spans="1:42" x14ac:dyDescent="0.25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</row>
    <row r="3" spans="1:42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</row>
    <row r="4" spans="1:42" s="92" customFormat="1" ht="29.4" customHeight="1" x14ac:dyDescent="0.3">
      <c r="B4" s="116" t="s">
        <v>268</v>
      </c>
      <c r="C4" s="116" t="s">
        <v>269</v>
      </c>
      <c r="D4" s="137" t="s">
        <v>234</v>
      </c>
      <c r="E4" s="138"/>
      <c r="F4" s="137" t="s">
        <v>233</v>
      </c>
      <c r="G4" s="138"/>
      <c r="H4" s="117" t="s">
        <v>270</v>
      </c>
      <c r="I4" s="93" t="s">
        <v>2</v>
      </c>
      <c r="J4" s="94" t="s">
        <v>3</v>
      </c>
      <c r="K4" s="94" t="s">
        <v>4</v>
      </c>
      <c r="L4" s="94" t="s">
        <v>5</v>
      </c>
      <c r="M4" s="94" t="s">
        <v>6</v>
      </c>
      <c r="N4" s="94" t="s">
        <v>7</v>
      </c>
      <c r="O4" s="94" t="s">
        <v>8</v>
      </c>
      <c r="P4" s="94" t="s">
        <v>9</v>
      </c>
      <c r="Q4" s="94" t="s">
        <v>10</v>
      </c>
      <c r="R4" s="94" t="s">
        <v>278</v>
      </c>
      <c r="S4" s="94" t="s">
        <v>279</v>
      </c>
      <c r="T4" s="94" t="s">
        <v>280</v>
      </c>
      <c r="U4" s="94" t="s">
        <v>281</v>
      </c>
      <c r="V4" s="94" t="s">
        <v>282</v>
      </c>
      <c r="W4" s="94" t="s">
        <v>283</v>
      </c>
      <c r="X4" s="94" t="s">
        <v>288</v>
      </c>
      <c r="Y4" s="94" t="s">
        <v>289</v>
      </c>
      <c r="Z4" s="94" t="s">
        <v>290</v>
      </c>
      <c r="AA4" s="94" t="s">
        <v>291</v>
      </c>
      <c r="AB4" s="94" t="s">
        <v>292</v>
      </c>
      <c r="AC4" s="94" t="s">
        <v>293</v>
      </c>
      <c r="AD4" s="94" t="s">
        <v>294</v>
      </c>
      <c r="AE4" s="94" t="s">
        <v>295</v>
      </c>
      <c r="AF4" s="94" t="s">
        <v>296</v>
      </c>
      <c r="AG4" s="94" t="s">
        <v>297</v>
      </c>
      <c r="AH4" s="94" t="s">
        <v>298</v>
      </c>
      <c r="AI4" s="94" t="s">
        <v>299</v>
      </c>
      <c r="AJ4" s="94" t="s">
        <v>300</v>
      </c>
      <c r="AK4" s="94" t="s">
        <v>301</v>
      </c>
      <c r="AL4" s="94" t="s">
        <v>302</v>
      </c>
      <c r="AM4" s="94" t="s">
        <v>303</v>
      </c>
      <c r="AN4" s="94" t="s">
        <v>304</v>
      </c>
      <c r="AO4" s="94" t="s">
        <v>305</v>
      </c>
      <c r="AP4" s="94" t="s">
        <v>306</v>
      </c>
    </row>
    <row r="5" spans="1:42" s="29" customFormat="1" x14ac:dyDescent="0.25">
      <c r="B5" s="28"/>
      <c r="C5" s="95" t="s">
        <v>119</v>
      </c>
      <c r="D5" s="48" t="s">
        <v>0</v>
      </c>
      <c r="E5" s="24" t="s">
        <v>1</v>
      </c>
      <c r="F5" s="26" t="s">
        <v>133</v>
      </c>
      <c r="G5" s="119" t="s">
        <v>1</v>
      </c>
      <c r="H5" s="30"/>
      <c r="I5" s="35"/>
      <c r="J5" s="32"/>
      <c r="K5" s="33"/>
      <c r="L5" s="34"/>
      <c r="M5" s="31"/>
      <c r="N5" s="31"/>
      <c r="O5" s="33"/>
      <c r="P5" s="33"/>
      <c r="Q5" s="33"/>
      <c r="R5" s="75"/>
      <c r="S5" s="73"/>
      <c r="T5" s="73"/>
      <c r="U5" s="73"/>
      <c r="V5" s="73"/>
      <c r="W5" s="73"/>
      <c r="X5" s="73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</row>
    <row r="6" spans="1:42" ht="14.25" customHeight="1" x14ac:dyDescent="0.25">
      <c r="B6" s="11" t="s">
        <v>125</v>
      </c>
      <c r="C6" s="47" t="s">
        <v>115</v>
      </c>
      <c r="D6" s="49" t="s">
        <v>11</v>
      </c>
      <c r="E6" s="25">
        <v>127</v>
      </c>
      <c r="F6" s="27" t="s">
        <v>12</v>
      </c>
      <c r="G6" s="120">
        <f>HEX2DEC(F6)</f>
        <v>254</v>
      </c>
      <c r="H6" s="14">
        <v>8</v>
      </c>
      <c r="I6" s="133" t="s">
        <v>13</v>
      </c>
      <c r="J6" s="139"/>
      <c r="K6" s="13" t="s">
        <v>14</v>
      </c>
      <c r="L6" s="140" t="s">
        <v>323</v>
      </c>
      <c r="M6" s="141"/>
      <c r="N6" s="1" t="s">
        <v>184</v>
      </c>
      <c r="O6" s="13" t="s">
        <v>16</v>
      </c>
      <c r="P6" s="13" t="s">
        <v>17</v>
      </c>
      <c r="Q6" s="13" t="s">
        <v>18</v>
      </c>
      <c r="R6" s="77"/>
      <c r="S6" s="77"/>
    </row>
    <row r="8" spans="1:42" ht="14.25" customHeight="1" x14ac:dyDescent="0.2">
      <c r="B8" s="7" t="s">
        <v>135</v>
      </c>
      <c r="C8" s="44" t="s">
        <v>114</v>
      </c>
      <c r="D8" s="50" t="s">
        <v>11</v>
      </c>
      <c r="E8" s="36">
        <v>127</v>
      </c>
      <c r="F8" s="37" t="s">
        <v>26</v>
      </c>
      <c r="G8" s="118">
        <f>HEX2DEC(F8)</f>
        <v>252</v>
      </c>
      <c r="H8" s="14">
        <v>8</v>
      </c>
      <c r="I8" s="2" t="s">
        <v>27</v>
      </c>
      <c r="J8" s="1" t="s">
        <v>28</v>
      </c>
      <c r="K8" s="1" t="s">
        <v>29</v>
      </c>
      <c r="L8" s="1" t="s">
        <v>30</v>
      </c>
      <c r="M8" s="1" t="s">
        <v>31</v>
      </c>
      <c r="N8" s="142" t="s">
        <v>32</v>
      </c>
      <c r="O8" s="142"/>
      <c r="P8" s="1" t="s">
        <v>33</v>
      </c>
      <c r="Q8" s="1" t="s">
        <v>18</v>
      </c>
    </row>
    <row r="9" spans="1:42" ht="14.25" customHeight="1" x14ac:dyDescent="0.2">
      <c r="B9" s="7" t="s">
        <v>147</v>
      </c>
    </row>
    <row r="10" spans="1:42" ht="14.25" customHeight="1" x14ac:dyDescent="0.2">
      <c r="B10" s="7" t="s">
        <v>152</v>
      </c>
      <c r="C10" s="44" t="s">
        <v>113</v>
      </c>
      <c r="D10" s="50" t="s">
        <v>11</v>
      </c>
      <c r="E10" s="36">
        <v>127</v>
      </c>
      <c r="F10" s="37" t="s">
        <v>34</v>
      </c>
      <c r="G10" s="118">
        <f>HEX2DEC(F10)</f>
        <v>251</v>
      </c>
      <c r="H10" s="14">
        <v>8</v>
      </c>
      <c r="I10" s="2" t="s">
        <v>35</v>
      </c>
      <c r="J10" s="1" t="s">
        <v>36</v>
      </c>
      <c r="K10" s="1" t="s">
        <v>37</v>
      </c>
      <c r="L10" s="1" t="s">
        <v>38</v>
      </c>
      <c r="M10" s="1" t="s">
        <v>15</v>
      </c>
      <c r="N10" s="1" t="s">
        <v>15</v>
      </c>
      <c r="O10" s="1" t="s">
        <v>15</v>
      </c>
      <c r="P10" s="1" t="s">
        <v>15</v>
      </c>
      <c r="Q10" s="1" t="s">
        <v>18</v>
      </c>
    </row>
    <row r="11" spans="1:42" ht="14.25" customHeight="1" x14ac:dyDescent="0.2">
      <c r="B11" s="10" t="s">
        <v>136</v>
      </c>
    </row>
    <row r="12" spans="1:42" ht="14.25" customHeight="1" x14ac:dyDescent="0.2">
      <c r="C12" s="44" t="s">
        <v>111</v>
      </c>
      <c r="D12" s="50" t="s">
        <v>19</v>
      </c>
      <c r="E12" s="36">
        <v>126</v>
      </c>
      <c r="F12" s="37" t="s">
        <v>20</v>
      </c>
      <c r="G12" s="118">
        <f>HEX2DEC(F12)</f>
        <v>253</v>
      </c>
      <c r="H12" s="14">
        <v>8</v>
      </c>
      <c r="I12" s="143" t="s">
        <v>21</v>
      </c>
      <c r="J12" s="139"/>
      <c r="K12" s="142" t="s">
        <v>22</v>
      </c>
      <c r="L12" s="142"/>
      <c r="M12" s="142" t="s">
        <v>23</v>
      </c>
      <c r="N12" s="142"/>
      <c r="O12" s="1" t="s">
        <v>24</v>
      </c>
      <c r="P12" s="1" t="s">
        <v>25</v>
      </c>
      <c r="Q12" s="1" t="s">
        <v>18</v>
      </c>
    </row>
    <row r="14" spans="1:42" ht="14.25" customHeight="1" x14ac:dyDescent="0.2">
      <c r="C14" s="44" t="s">
        <v>112</v>
      </c>
      <c r="D14" s="50" t="s">
        <v>19</v>
      </c>
      <c r="E14" s="36">
        <v>126</v>
      </c>
      <c r="F14" s="37" t="s">
        <v>56</v>
      </c>
      <c r="G14" s="118">
        <v>250</v>
      </c>
      <c r="H14" s="14">
        <v>8</v>
      </c>
      <c r="I14" s="2" t="s">
        <v>100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58</v>
      </c>
      <c r="Q14" s="1" t="s">
        <v>18</v>
      </c>
    </row>
    <row r="15" spans="1:42" ht="14.25" customHeight="1" x14ac:dyDescent="0.2">
      <c r="H15" s="81"/>
      <c r="I15" s="80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</row>
    <row r="16" spans="1:42" ht="14.25" customHeight="1" x14ac:dyDescent="0.2">
      <c r="H16" s="81"/>
      <c r="I16" s="80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</row>
    <row r="17" spans="2:42" s="4" customFormat="1" ht="14.25" customHeight="1" x14ac:dyDescent="0.25">
      <c r="B17" s="8"/>
      <c r="C17" s="45"/>
      <c r="D17" s="51"/>
      <c r="E17" s="38"/>
      <c r="F17" s="39"/>
      <c r="G17" s="121"/>
      <c r="H17" s="17"/>
      <c r="I17" s="18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2:42" s="6" customFormat="1" ht="14.25" customHeight="1" x14ac:dyDescent="0.3">
      <c r="B18" s="11" t="s">
        <v>126</v>
      </c>
      <c r="C18" s="44"/>
      <c r="D18" s="50"/>
      <c r="E18" s="40"/>
      <c r="F18" s="37"/>
      <c r="G18" s="118"/>
      <c r="H18" s="14"/>
      <c r="I18" s="2"/>
      <c r="J18" s="129" t="s">
        <v>327</v>
      </c>
      <c r="K18" s="14"/>
      <c r="L18" s="14"/>
      <c r="M18" s="14"/>
      <c r="N18" s="14"/>
      <c r="O18" s="14"/>
      <c r="P18" s="14"/>
      <c r="Q18" s="14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spans="2:42" ht="15" customHeight="1" x14ac:dyDescent="0.25">
      <c r="C19" s="44" t="s">
        <v>116</v>
      </c>
      <c r="D19" s="50" t="s">
        <v>11</v>
      </c>
      <c r="E19" s="36">
        <v>127</v>
      </c>
      <c r="F19" s="37" t="s">
        <v>39</v>
      </c>
      <c r="G19" s="118">
        <f>HEX2DEC(F19)</f>
        <v>239</v>
      </c>
      <c r="H19" s="14">
        <v>8</v>
      </c>
      <c r="I19" s="2" t="s">
        <v>40</v>
      </c>
      <c r="J19" s="1" t="s">
        <v>50</v>
      </c>
      <c r="K19" s="1" t="s">
        <v>41</v>
      </c>
      <c r="L19" s="13" t="s">
        <v>42</v>
      </c>
      <c r="M19" s="1" t="s">
        <v>51</v>
      </c>
      <c r="N19" s="1" t="s">
        <v>15</v>
      </c>
      <c r="O19" s="13" t="s">
        <v>16</v>
      </c>
      <c r="P19" s="13" t="s">
        <v>17</v>
      </c>
      <c r="Q19" s="1" t="s">
        <v>18</v>
      </c>
    </row>
    <row r="20" spans="2:42" ht="43.2" customHeight="1" x14ac:dyDescent="0.25">
      <c r="H20" s="103"/>
      <c r="I20" s="102"/>
      <c r="J20" s="125"/>
      <c r="K20" s="98" t="s">
        <v>308</v>
      </c>
      <c r="L20" s="107" t="s">
        <v>309</v>
      </c>
      <c r="M20" s="108" t="s">
        <v>307</v>
      </c>
      <c r="N20" s="104"/>
      <c r="O20" s="106"/>
      <c r="P20" s="106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</row>
    <row r="21" spans="2:42" x14ac:dyDescent="0.25">
      <c r="B21" s="7" t="s">
        <v>138</v>
      </c>
    </row>
    <row r="22" spans="2:42" ht="14.25" customHeight="1" x14ac:dyDescent="0.25">
      <c r="B22" s="7" t="s">
        <v>148</v>
      </c>
      <c r="C22" s="44" t="s">
        <v>117</v>
      </c>
      <c r="D22" s="50" t="s">
        <v>11</v>
      </c>
      <c r="E22" s="36">
        <v>127</v>
      </c>
      <c r="F22" s="37" t="s">
        <v>43</v>
      </c>
      <c r="G22" s="118">
        <f>HEX2DEC(F22)</f>
        <v>238</v>
      </c>
      <c r="H22" s="14">
        <v>8</v>
      </c>
      <c r="I22" s="2" t="s">
        <v>275</v>
      </c>
      <c r="J22" s="1" t="s">
        <v>276</v>
      </c>
      <c r="K22" s="1" t="s">
        <v>277</v>
      </c>
      <c r="L22" s="1" t="s">
        <v>35</v>
      </c>
      <c r="M22" s="1" t="s">
        <v>52</v>
      </c>
      <c r="N22" s="1" t="s">
        <v>53</v>
      </c>
      <c r="O22" s="1" t="s">
        <v>54</v>
      </c>
      <c r="P22" s="1" t="s">
        <v>55</v>
      </c>
      <c r="Q22" s="1" t="s">
        <v>18</v>
      </c>
    </row>
    <row r="23" spans="2:42" ht="31.8" customHeight="1" x14ac:dyDescent="0.25">
      <c r="B23" s="7" t="s">
        <v>143</v>
      </c>
      <c r="L23" s="98" t="s">
        <v>274</v>
      </c>
    </row>
    <row r="24" spans="2:42" ht="14.25" customHeight="1" x14ac:dyDescent="0.25">
      <c r="B24" s="10" t="s">
        <v>137</v>
      </c>
      <c r="C24" s="44" t="s">
        <v>110</v>
      </c>
      <c r="D24" s="50" t="s">
        <v>11</v>
      </c>
      <c r="E24" s="36">
        <v>127</v>
      </c>
      <c r="F24" s="37" t="s">
        <v>59</v>
      </c>
      <c r="G24" s="118">
        <f t="shared" ref="G24" si="0">HEX2DEC(F24)</f>
        <v>236</v>
      </c>
      <c r="H24" s="14">
        <v>24</v>
      </c>
      <c r="I24" s="2">
        <v>1</v>
      </c>
      <c r="J24" s="1">
        <v>2</v>
      </c>
      <c r="K24" s="1">
        <v>3</v>
      </c>
      <c r="L24" s="1">
        <v>4</v>
      </c>
      <c r="M24" s="1">
        <v>5</v>
      </c>
      <c r="N24" s="1">
        <v>6</v>
      </c>
      <c r="O24" s="1">
        <v>7</v>
      </c>
      <c r="P24" s="1">
        <v>8</v>
      </c>
      <c r="Q24" s="1">
        <v>9</v>
      </c>
      <c r="R24" s="74">
        <v>10</v>
      </c>
      <c r="S24" s="74">
        <v>11</v>
      </c>
      <c r="T24" s="74">
        <v>12</v>
      </c>
      <c r="U24" s="74">
        <v>13</v>
      </c>
      <c r="V24" s="74">
        <v>14</v>
      </c>
      <c r="W24" s="74">
        <v>15</v>
      </c>
      <c r="X24" s="74">
        <v>16</v>
      </c>
      <c r="Y24" s="74">
        <v>17</v>
      </c>
      <c r="Z24" s="74">
        <v>18</v>
      </c>
      <c r="AA24" s="74">
        <v>19</v>
      </c>
      <c r="AB24" s="74">
        <v>20</v>
      </c>
      <c r="AC24" s="74">
        <v>21</v>
      </c>
      <c r="AD24" s="74">
        <v>22</v>
      </c>
      <c r="AE24" s="74">
        <v>23</v>
      </c>
      <c r="AF24" s="74">
        <v>24</v>
      </c>
      <c r="AG24" s="74" t="s">
        <v>18</v>
      </c>
    </row>
    <row r="25" spans="2:42" ht="14.25" customHeight="1" x14ac:dyDescent="0.2">
      <c r="B25" s="10"/>
      <c r="H25" s="62"/>
      <c r="I25" s="61"/>
      <c r="J25" s="63"/>
      <c r="K25" s="63"/>
      <c r="L25" s="63"/>
      <c r="M25" s="63"/>
      <c r="N25" s="63"/>
      <c r="O25" s="63"/>
      <c r="P25" s="63"/>
      <c r="Q25" s="63"/>
    </row>
    <row r="26" spans="2:42" ht="14.25" customHeight="1" x14ac:dyDescent="0.2">
      <c r="B26" s="10"/>
      <c r="C26" s="44" t="s">
        <v>165</v>
      </c>
      <c r="D26" s="50" t="s">
        <v>11</v>
      </c>
      <c r="E26" s="36">
        <v>127</v>
      </c>
      <c r="F26" s="37" t="s">
        <v>166</v>
      </c>
      <c r="G26" s="118">
        <v>235</v>
      </c>
      <c r="H26" s="62">
        <v>33</v>
      </c>
      <c r="I26" s="61">
        <v>1</v>
      </c>
      <c r="J26" s="63" t="s">
        <v>167</v>
      </c>
      <c r="K26" s="63">
        <v>2</v>
      </c>
      <c r="L26" s="63" t="s">
        <v>168</v>
      </c>
      <c r="M26" s="63">
        <v>3</v>
      </c>
      <c r="N26" s="63" t="s">
        <v>169</v>
      </c>
      <c r="O26" s="63">
        <v>4</v>
      </c>
      <c r="P26" s="63" t="s">
        <v>170</v>
      </c>
      <c r="Q26" s="63">
        <v>5</v>
      </c>
      <c r="R26" s="74" t="s">
        <v>171</v>
      </c>
      <c r="S26" s="74">
        <v>6</v>
      </c>
      <c r="T26" s="74" t="s">
        <v>172</v>
      </c>
      <c r="U26" s="74">
        <v>7</v>
      </c>
      <c r="V26" s="74" t="s">
        <v>173</v>
      </c>
      <c r="W26" s="74">
        <v>8</v>
      </c>
      <c r="X26" s="74" t="s">
        <v>174</v>
      </c>
      <c r="Y26" s="74">
        <v>9</v>
      </c>
      <c r="Z26" s="74" t="s">
        <v>175</v>
      </c>
      <c r="AA26" s="74">
        <v>10</v>
      </c>
      <c r="AB26" s="74" t="s">
        <v>176</v>
      </c>
      <c r="AC26" s="74">
        <v>11</v>
      </c>
      <c r="AD26" s="74" t="s">
        <v>177</v>
      </c>
      <c r="AE26" s="74">
        <v>12</v>
      </c>
      <c r="AF26" s="74" t="s">
        <v>178</v>
      </c>
      <c r="AG26" s="74">
        <v>13</v>
      </c>
      <c r="AH26" s="74" t="s">
        <v>179</v>
      </c>
      <c r="AI26" s="74">
        <v>14</v>
      </c>
      <c r="AJ26" s="74" t="s">
        <v>180</v>
      </c>
      <c r="AK26" s="74">
        <v>15</v>
      </c>
      <c r="AL26" s="74" t="s">
        <v>181</v>
      </c>
      <c r="AM26" s="74">
        <v>16</v>
      </c>
      <c r="AN26" s="74" t="s">
        <v>182</v>
      </c>
      <c r="AO26" s="3" t="s">
        <v>183</v>
      </c>
      <c r="AP26" s="3" t="s">
        <v>18</v>
      </c>
    </row>
    <row r="27" spans="2:42" ht="14.25" customHeight="1" x14ac:dyDescent="0.25"/>
    <row r="28" spans="2:42" ht="14.25" customHeight="1" x14ac:dyDescent="0.3">
      <c r="B28" s="100" t="s">
        <v>284</v>
      </c>
      <c r="C28" s="101" t="s">
        <v>67</v>
      </c>
      <c r="D28" s="50" t="s">
        <v>44</v>
      </c>
      <c r="E28" s="36">
        <v>123</v>
      </c>
      <c r="F28" s="37" t="s">
        <v>66</v>
      </c>
      <c r="G28" s="118">
        <v>237</v>
      </c>
      <c r="H28" s="14">
        <v>8</v>
      </c>
      <c r="I28" s="2">
        <v>1</v>
      </c>
      <c r="J28" s="1">
        <v>2</v>
      </c>
      <c r="K28" s="1">
        <v>3</v>
      </c>
      <c r="L28" s="1">
        <v>4</v>
      </c>
      <c r="M28" s="1" t="s">
        <v>57</v>
      </c>
    </row>
    <row r="29" spans="2:42" ht="14.25" customHeight="1" x14ac:dyDescent="0.25">
      <c r="H29" s="86"/>
      <c r="I29" s="85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2" ht="14.25" customHeight="1" x14ac:dyDescent="0.25">
      <c r="C30" s="44" t="s">
        <v>215</v>
      </c>
      <c r="D30" s="50" t="s">
        <v>11</v>
      </c>
      <c r="E30" s="36">
        <v>127</v>
      </c>
      <c r="F30" s="37" t="s">
        <v>216</v>
      </c>
      <c r="G30" s="118">
        <v>229</v>
      </c>
      <c r="H30" s="86">
        <v>10</v>
      </c>
      <c r="I30" s="85" t="s">
        <v>217</v>
      </c>
      <c r="J30" s="87" t="s">
        <v>218</v>
      </c>
      <c r="K30" s="87" t="s">
        <v>219</v>
      </c>
      <c r="L30" s="87" t="s">
        <v>220</v>
      </c>
      <c r="M30" s="87" t="s">
        <v>221</v>
      </c>
      <c r="N30" s="87" t="s">
        <v>222</v>
      </c>
      <c r="O30" s="87" t="s">
        <v>223</v>
      </c>
      <c r="P30" s="87" t="s">
        <v>224</v>
      </c>
      <c r="Q30" s="87" t="s">
        <v>225</v>
      </c>
      <c r="R30" s="87" t="s">
        <v>226</v>
      </c>
      <c r="S30" s="87" t="s">
        <v>18</v>
      </c>
      <c r="T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</row>
    <row r="31" spans="2:42" ht="14.25" customHeight="1" x14ac:dyDescent="0.3">
      <c r="H31" s="86"/>
      <c r="I31" s="85"/>
      <c r="J31" s="87"/>
      <c r="K31" s="87"/>
      <c r="L31" s="87"/>
      <c r="M31" s="87"/>
      <c r="N31" s="87"/>
      <c r="O31" s="87"/>
      <c r="P31" s="87"/>
      <c r="Q31" s="109" t="s">
        <v>310</v>
      </c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</row>
    <row r="33" spans="2:40" s="5" customFormat="1" ht="15" customHeight="1" x14ac:dyDescent="0.25">
      <c r="B33" s="12" t="s">
        <v>49</v>
      </c>
      <c r="C33" s="46"/>
      <c r="D33" s="52"/>
      <c r="E33" s="42"/>
      <c r="F33" s="43"/>
      <c r="G33" s="122"/>
      <c r="H33" s="19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</row>
    <row r="34" spans="2:40" s="6" customFormat="1" ht="14.25" customHeight="1" x14ac:dyDescent="0.25">
      <c r="B34" s="10"/>
      <c r="C34" s="44" t="s">
        <v>134</v>
      </c>
      <c r="D34" s="50">
        <v>79</v>
      </c>
      <c r="E34" s="40">
        <v>121</v>
      </c>
      <c r="F34" s="37" t="s">
        <v>120</v>
      </c>
      <c r="G34" s="118">
        <f>HEX2DEC(F34)</f>
        <v>211</v>
      </c>
      <c r="H34" s="14">
        <v>8</v>
      </c>
      <c r="I34" s="133" t="s">
        <v>121</v>
      </c>
      <c r="J34" s="139"/>
      <c r="K34" s="139" t="s">
        <v>122</v>
      </c>
      <c r="L34" s="139"/>
      <c r="M34" s="139" t="s">
        <v>123</v>
      </c>
      <c r="N34" s="139"/>
      <c r="O34" s="14">
        <v>0</v>
      </c>
      <c r="P34" s="14">
        <v>0</v>
      </c>
      <c r="Q34" s="14" t="s">
        <v>18</v>
      </c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</row>
    <row r="35" spans="2:40" s="6" customFormat="1" ht="14.25" customHeight="1" x14ac:dyDescent="0.25">
      <c r="B35" s="7" t="s">
        <v>139</v>
      </c>
      <c r="C35" s="44"/>
      <c r="D35" s="50"/>
      <c r="E35" s="36"/>
      <c r="F35" s="37"/>
      <c r="G35" s="118"/>
      <c r="H35" s="14"/>
      <c r="I35" s="2"/>
      <c r="J35" s="14"/>
      <c r="K35" s="14"/>
      <c r="L35" s="14"/>
      <c r="M35" s="1"/>
      <c r="N35" s="1"/>
      <c r="O35" s="1"/>
      <c r="P35" s="1"/>
      <c r="Q35" s="1"/>
      <c r="R35" s="74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</row>
    <row r="36" spans="2:40" s="6" customFormat="1" ht="14.25" customHeight="1" x14ac:dyDescent="0.25">
      <c r="B36" s="10" t="s">
        <v>149</v>
      </c>
      <c r="C36" s="44" t="s">
        <v>134</v>
      </c>
      <c r="D36" s="50">
        <v>79</v>
      </c>
      <c r="E36" s="36">
        <v>121</v>
      </c>
      <c r="F36" s="37" t="s">
        <v>231</v>
      </c>
      <c r="G36" s="118">
        <f>HEX2DEC(F36)</f>
        <v>212</v>
      </c>
      <c r="H36" s="14">
        <v>1</v>
      </c>
      <c r="I36" s="2" t="s">
        <v>232</v>
      </c>
      <c r="J36" s="14"/>
      <c r="K36" s="14"/>
      <c r="L36" s="14"/>
      <c r="M36" s="1"/>
      <c r="N36" s="1"/>
      <c r="O36" s="1"/>
      <c r="P36" s="1"/>
      <c r="Q36" s="1"/>
      <c r="R36" s="74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</row>
    <row r="37" spans="2:40" s="6" customFormat="1" ht="14.25" customHeight="1" x14ac:dyDescent="0.25">
      <c r="B37" s="10" t="s">
        <v>144</v>
      </c>
      <c r="C37" s="44"/>
      <c r="D37" s="50"/>
      <c r="E37" s="36"/>
      <c r="F37" s="37"/>
      <c r="G37" s="118"/>
      <c r="H37" s="14"/>
      <c r="I37" s="2"/>
      <c r="J37" s="14"/>
      <c r="K37" s="14"/>
      <c r="L37" s="14"/>
      <c r="M37" s="1"/>
      <c r="N37" s="1"/>
      <c r="O37" s="1"/>
      <c r="P37" s="1"/>
      <c r="Q37" s="1"/>
      <c r="R37" s="74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</row>
    <row r="38" spans="2:40" s="6" customFormat="1" ht="14.25" customHeight="1" x14ac:dyDescent="0.25">
      <c r="B38" s="10" t="s">
        <v>140</v>
      </c>
      <c r="C38" s="44"/>
      <c r="D38" s="50"/>
      <c r="E38" s="36"/>
      <c r="F38" s="37"/>
      <c r="G38" s="118"/>
      <c r="H38" s="14"/>
      <c r="I38" s="2"/>
      <c r="J38" s="14"/>
      <c r="K38" s="14"/>
      <c r="L38" s="14"/>
      <c r="M38" s="1"/>
      <c r="N38" s="1"/>
      <c r="O38" s="1"/>
      <c r="P38" s="1"/>
      <c r="Q38" s="1"/>
      <c r="R38" s="74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</row>
    <row r="39" spans="2:40" s="6" customFormat="1" ht="14.25" customHeight="1" x14ac:dyDescent="0.25">
      <c r="B39" s="10"/>
      <c r="C39" s="44"/>
      <c r="D39" s="50"/>
      <c r="E39" s="36"/>
      <c r="F39" s="37"/>
      <c r="G39" s="118"/>
      <c r="H39" s="14"/>
      <c r="I39" s="2"/>
      <c r="J39" s="14"/>
      <c r="K39" s="14"/>
      <c r="L39" s="14"/>
      <c r="M39" s="1"/>
      <c r="N39" s="1"/>
      <c r="O39" s="1"/>
      <c r="P39" s="1"/>
      <c r="Q39" s="1"/>
      <c r="R39" s="74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</row>
    <row r="40" spans="2:40" s="5" customFormat="1" ht="15" customHeight="1" x14ac:dyDescent="0.25">
      <c r="B40" s="12" t="s">
        <v>106</v>
      </c>
      <c r="C40" s="22"/>
      <c r="D40" s="52"/>
      <c r="E40" s="42"/>
      <c r="F40" s="43"/>
      <c r="G40" s="122"/>
      <c r="I40" s="22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</row>
    <row r="41" spans="2:40" ht="14.25" customHeight="1" x14ac:dyDescent="0.25">
      <c r="C41" s="44" t="s">
        <v>103</v>
      </c>
      <c r="D41" s="50" t="s">
        <v>105</v>
      </c>
      <c r="E41" s="40">
        <v>124</v>
      </c>
      <c r="F41" s="37" t="s">
        <v>48</v>
      </c>
      <c r="G41" s="118">
        <v>214</v>
      </c>
      <c r="H41" s="14">
        <v>33</v>
      </c>
      <c r="I41" s="96" t="s">
        <v>238</v>
      </c>
      <c r="J41" s="97" t="s">
        <v>237</v>
      </c>
      <c r="K41" s="97" t="s">
        <v>239</v>
      </c>
      <c r="L41" s="97" t="s">
        <v>244</v>
      </c>
      <c r="M41" s="97" t="s">
        <v>245</v>
      </c>
      <c r="N41" s="97" t="s">
        <v>248</v>
      </c>
      <c r="O41" s="97" t="s">
        <v>249</v>
      </c>
      <c r="P41" s="97" t="s">
        <v>252</v>
      </c>
      <c r="Q41" s="1">
        <v>43</v>
      </c>
      <c r="R41" s="97" t="s">
        <v>254</v>
      </c>
      <c r="S41" s="97" t="s">
        <v>257</v>
      </c>
      <c r="T41" s="97" t="s">
        <v>258</v>
      </c>
      <c r="U41" s="97" t="s">
        <v>260</v>
      </c>
      <c r="V41" s="97" t="s">
        <v>263</v>
      </c>
      <c r="W41" s="97" t="s">
        <v>264</v>
      </c>
    </row>
    <row r="42" spans="2:40" ht="14.25" customHeight="1" x14ac:dyDescent="0.25">
      <c r="B42" s="7" t="s">
        <v>131</v>
      </c>
      <c r="C42" s="7" t="s">
        <v>236</v>
      </c>
      <c r="I42" s="2" t="s">
        <v>241</v>
      </c>
      <c r="J42" s="1" t="s">
        <v>242</v>
      </c>
      <c r="K42" s="1" t="s">
        <v>240</v>
      </c>
      <c r="L42" s="1" t="s">
        <v>243</v>
      </c>
      <c r="M42" s="1" t="s">
        <v>246</v>
      </c>
      <c r="N42" s="1" t="s">
        <v>247</v>
      </c>
      <c r="O42" s="1" t="s">
        <v>250</v>
      </c>
      <c r="P42" s="1" t="s">
        <v>251</v>
      </c>
      <c r="Q42" s="1" t="s">
        <v>253</v>
      </c>
      <c r="R42" s="74" t="s">
        <v>255</v>
      </c>
      <c r="S42" s="74" t="s">
        <v>256</v>
      </c>
      <c r="T42" s="74" t="s">
        <v>259</v>
      </c>
      <c r="U42" s="74" t="s">
        <v>261</v>
      </c>
      <c r="V42" s="74" t="s">
        <v>262</v>
      </c>
      <c r="W42" s="74" t="s">
        <v>265</v>
      </c>
    </row>
    <row r="43" spans="2:40" ht="14.25" customHeight="1" x14ac:dyDescent="0.25">
      <c r="B43" s="10" t="s">
        <v>132</v>
      </c>
      <c r="C43" s="7" t="s">
        <v>235</v>
      </c>
    </row>
    <row r="44" spans="2:40" s="6" customFormat="1" ht="14.25" customHeight="1" x14ac:dyDescent="0.25">
      <c r="B44" s="10" t="s">
        <v>145</v>
      </c>
      <c r="C44" s="23"/>
      <c r="D44" s="50"/>
      <c r="E44" s="40"/>
      <c r="F44" s="37"/>
      <c r="G44" s="118"/>
      <c r="I44" s="23"/>
      <c r="J44" s="14"/>
      <c r="K44" s="14"/>
      <c r="L44" s="14"/>
      <c r="M44" s="14"/>
      <c r="N44" s="14"/>
      <c r="O44" s="14"/>
      <c r="P44" s="14"/>
      <c r="Q44" s="14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</row>
    <row r="45" spans="2:40" s="6" customFormat="1" ht="14.25" customHeight="1" x14ac:dyDescent="0.25">
      <c r="B45" s="10" t="s">
        <v>108</v>
      </c>
      <c r="C45" s="23"/>
      <c r="D45" s="50"/>
      <c r="E45" s="40"/>
      <c r="F45" s="37"/>
      <c r="G45" s="118"/>
      <c r="I45" s="23"/>
      <c r="J45" s="14"/>
      <c r="K45" s="14"/>
      <c r="L45" s="14"/>
      <c r="M45" s="14"/>
      <c r="N45" s="14"/>
      <c r="O45" s="14"/>
      <c r="P45" s="14"/>
      <c r="Q45" s="14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</row>
    <row r="46" spans="2:40" s="6" customFormat="1" ht="14.25" customHeight="1" x14ac:dyDescent="0.25">
      <c r="C46" s="44"/>
      <c r="D46" s="50"/>
      <c r="E46" s="40"/>
      <c r="F46" s="37"/>
      <c r="G46" s="118"/>
      <c r="H46" s="14"/>
      <c r="I46" s="2"/>
      <c r="J46" s="14"/>
      <c r="K46" s="14"/>
      <c r="L46" s="14"/>
      <c r="M46" s="14"/>
      <c r="N46" s="14"/>
      <c r="O46" s="14"/>
      <c r="P46" s="14"/>
      <c r="Q46" s="14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 spans="2:40" s="5" customFormat="1" ht="15" customHeight="1" x14ac:dyDescent="0.25">
      <c r="B47" s="12" t="s">
        <v>127</v>
      </c>
      <c r="C47" s="22"/>
      <c r="D47" s="52"/>
      <c r="E47" s="42"/>
      <c r="F47" s="43"/>
      <c r="G47" s="122"/>
      <c r="I47" s="22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</row>
    <row r="48" spans="2:40" ht="14.25" customHeight="1" x14ac:dyDescent="0.25">
      <c r="C48" s="44" t="s">
        <v>102</v>
      </c>
      <c r="D48" s="50" t="s">
        <v>104</v>
      </c>
      <c r="E48" s="40">
        <v>125</v>
      </c>
      <c r="F48" s="37" t="s">
        <v>101</v>
      </c>
      <c r="G48" s="118">
        <v>215</v>
      </c>
      <c r="I48" s="2" t="s">
        <v>102</v>
      </c>
    </row>
    <row r="49" spans="2:40" ht="14.25" customHeight="1" x14ac:dyDescent="0.25">
      <c r="B49" s="7" t="s">
        <v>128</v>
      </c>
    </row>
    <row r="50" spans="2:40" ht="14.25" customHeight="1" x14ac:dyDescent="0.25">
      <c r="B50" s="10" t="s">
        <v>150</v>
      </c>
    </row>
    <row r="51" spans="2:40" ht="14.25" customHeight="1" x14ac:dyDescent="0.25">
      <c r="B51" s="10" t="s">
        <v>130</v>
      </c>
      <c r="K51" s="1" t="s">
        <v>228</v>
      </c>
    </row>
    <row r="52" spans="2:40" ht="14.25" customHeight="1" x14ac:dyDescent="0.25">
      <c r="B52" s="10" t="s">
        <v>107</v>
      </c>
    </row>
    <row r="53" spans="2:40" ht="14.25" customHeight="1" x14ac:dyDescent="0.25">
      <c r="B53" s="10"/>
      <c r="H53" s="89"/>
      <c r="I53" s="88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</row>
    <row r="54" spans="2:40" ht="14.25" customHeight="1" x14ac:dyDescent="0.25">
      <c r="B54" s="10"/>
      <c r="H54" s="89"/>
      <c r="I54" s="88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</row>
    <row r="55" spans="2:40" s="5" customFormat="1" ht="14.25" customHeight="1" x14ac:dyDescent="0.25">
      <c r="B55" s="12" t="s">
        <v>227</v>
      </c>
      <c r="C55" s="46"/>
      <c r="D55" s="52"/>
      <c r="E55" s="42"/>
      <c r="F55" s="43"/>
      <c r="G55" s="122"/>
      <c r="H55" s="19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</row>
    <row r="56" spans="2:40" ht="14.25" customHeight="1" x14ac:dyDescent="0.25">
      <c r="B56" s="91"/>
      <c r="C56" s="3"/>
      <c r="E56" s="124"/>
      <c r="F56" s="41"/>
      <c r="H56" s="91"/>
      <c r="I56" s="3"/>
      <c r="J56" s="3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</row>
    <row r="57" spans="2:40" ht="14.25" customHeight="1" x14ac:dyDescent="0.25">
      <c r="B57" s="7" t="s">
        <v>210</v>
      </c>
      <c r="C57" s="44" t="s">
        <v>211</v>
      </c>
      <c r="D57" s="50">
        <v>79</v>
      </c>
      <c r="E57" s="36">
        <v>122</v>
      </c>
      <c r="F57" s="37" t="s">
        <v>212</v>
      </c>
      <c r="G57" s="118">
        <v>249</v>
      </c>
      <c r="H57" s="89">
        <v>8</v>
      </c>
      <c r="I57" s="88" t="s">
        <v>213</v>
      </c>
      <c r="J57" s="90" t="s">
        <v>214</v>
      </c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</row>
    <row r="58" spans="2:40" ht="14.25" customHeight="1" x14ac:dyDescent="0.25">
      <c r="B58" s="10" t="s">
        <v>229</v>
      </c>
      <c r="C58" s="44" t="s">
        <v>285</v>
      </c>
      <c r="H58" s="89"/>
      <c r="I58" s="88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</row>
    <row r="59" spans="2:40" ht="14.25" customHeight="1" x14ac:dyDescent="0.25">
      <c r="B59" s="10" t="s">
        <v>230</v>
      </c>
      <c r="C59" s="44" t="s">
        <v>286</v>
      </c>
      <c r="H59" s="89"/>
      <c r="I59" s="88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</row>
    <row r="60" spans="2:40" ht="14.25" customHeight="1" x14ac:dyDescent="0.25">
      <c r="B60" s="10" t="s">
        <v>140</v>
      </c>
      <c r="C60" s="44" t="s">
        <v>287</v>
      </c>
      <c r="H60" s="89"/>
      <c r="I60" s="88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</row>
    <row r="61" spans="2:40" s="6" customFormat="1" ht="14.25" customHeight="1" x14ac:dyDescent="0.25">
      <c r="B61" s="10"/>
      <c r="C61" s="44"/>
      <c r="D61" s="50"/>
      <c r="E61" s="40"/>
      <c r="F61" s="37"/>
      <c r="G61" s="118"/>
      <c r="H61" s="14"/>
      <c r="I61" s="2"/>
      <c r="J61" s="14"/>
      <c r="K61" s="14"/>
      <c r="L61" s="14"/>
      <c r="M61" s="14"/>
      <c r="N61" s="14"/>
      <c r="O61" s="14"/>
      <c r="P61" s="14"/>
      <c r="Q61" s="14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</row>
    <row r="62" spans="2:40" s="5" customFormat="1" ht="15" customHeight="1" x14ac:dyDescent="0.25">
      <c r="B62" s="12" t="s">
        <v>129</v>
      </c>
      <c r="C62" s="46" t="s">
        <v>60</v>
      </c>
      <c r="D62" s="50" t="s">
        <v>11</v>
      </c>
      <c r="E62" s="36">
        <v>127</v>
      </c>
      <c r="F62" s="43" t="s">
        <v>69</v>
      </c>
      <c r="G62" s="122">
        <v>233</v>
      </c>
      <c r="H62" s="19">
        <v>8</v>
      </c>
      <c r="I62" s="20" t="s">
        <v>61</v>
      </c>
      <c r="J62" s="19" t="s">
        <v>62</v>
      </c>
      <c r="K62" s="19" t="s">
        <v>14</v>
      </c>
      <c r="L62" s="19" t="s">
        <v>63</v>
      </c>
      <c r="M62" s="19" t="s">
        <v>64</v>
      </c>
      <c r="N62" s="19" t="s">
        <v>68</v>
      </c>
      <c r="O62" s="19" t="s">
        <v>57</v>
      </c>
      <c r="P62" s="19" t="s">
        <v>57</v>
      </c>
      <c r="Q62" s="19" t="s">
        <v>18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</row>
    <row r="63" spans="2:40" ht="14.25" customHeight="1" x14ac:dyDescent="0.25">
      <c r="B63" s="3"/>
      <c r="C63" s="23"/>
    </row>
    <row r="64" spans="2:40" ht="14.25" customHeight="1" x14ac:dyDescent="0.25">
      <c r="B64" s="10" t="s">
        <v>142</v>
      </c>
      <c r="C64" s="44" t="s">
        <v>109</v>
      </c>
      <c r="D64" s="50" t="s">
        <v>11</v>
      </c>
      <c r="E64" s="36">
        <v>127</v>
      </c>
      <c r="F64" s="37" t="s">
        <v>70</v>
      </c>
      <c r="G64" s="118">
        <v>232</v>
      </c>
      <c r="H64" s="14">
        <v>8</v>
      </c>
      <c r="I64" s="2" t="s">
        <v>72</v>
      </c>
      <c r="J64" s="1" t="s">
        <v>73</v>
      </c>
      <c r="K64" s="1" t="s">
        <v>30</v>
      </c>
      <c r="L64" s="1" t="s">
        <v>28</v>
      </c>
      <c r="M64" s="1" t="s">
        <v>74</v>
      </c>
      <c r="N64" s="1" t="s">
        <v>75</v>
      </c>
      <c r="O64" s="1" t="s">
        <v>76</v>
      </c>
      <c r="P64" s="1" t="s">
        <v>77</v>
      </c>
      <c r="Q64" s="1" t="s">
        <v>18</v>
      </c>
    </row>
    <row r="65" spans="2:40" ht="14.25" customHeight="1" x14ac:dyDescent="0.25">
      <c r="B65" s="10" t="s">
        <v>151</v>
      </c>
    </row>
    <row r="66" spans="2:40" ht="14.25" customHeight="1" x14ac:dyDescent="0.25">
      <c r="B66" s="10" t="s">
        <v>146</v>
      </c>
      <c r="C66" s="44" t="s">
        <v>65</v>
      </c>
      <c r="D66" s="50" t="s">
        <v>11</v>
      </c>
      <c r="E66" s="36">
        <v>127</v>
      </c>
      <c r="F66" s="37" t="s">
        <v>71</v>
      </c>
      <c r="G66" s="118">
        <v>231</v>
      </c>
      <c r="H66" s="14">
        <v>8</v>
      </c>
      <c r="I66" s="2" t="s">
        <v>78</v>
      </c>
      <c r="J66" s="1" t="s">
        <v>57</v>
      </c>
      <c r="K66" s="1" t="s">
        <v>57</v>
      </c>
      <c r="L66" s="1" t="s">
        <v>57</v>
      </c>
      <c r="M66" s="1" t="s">
        <v>57</v>
      </c>
      <c r="N66" s="1" t="s">
        <v>57</v>
      </c>
      <c r="O66" s="1" t="s">
        <v>57</v>
      </c>
      <c r="P66" s="1" t="s">
        <v>57</v>
      </c>
      <c r="Q66" s="1" t="s">
        <v>18</v>
      </c>
    </row>
    <row r="67" spans="2:40" s="6" customFormat="1" ht="14.25" customHeight="1" x14ac:dyDescent="0.25">
      <c r="B67" s="10" t="s">
        <v>141</v>
      </c>
      <c r="C67" s="44"/>
      <c r="D67" s="50"/>
      <c r="E67" s="36"/>
      <c r="F67" s="37"/>
      <c r="G67" s="118"/>
      <c r="H67" s="14"/>
      <c r="I67" s="2" t="s">
        <v>85</v>
      </c>
      <c r="J67" s="1" t="s">
        <v>79</v>
      </c>
      <c r="K67" s="1" t="s">
        <v>80</v>
      </c>
      <c r="L67" s="1" t="s">
        <v>81</v>
      </c>
      <c r="M67" s="1" t="s">
        <v>82</v>
      </c>
      <c r="N67" s="1" t="s">
        <v>83</v>
      </c>
      <c r="O67" s="1" t="s">
        <v>84</v>
      </c>
      <c r="P67" s="1"/>
      <c r="Q67" s="1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</row>
    <row r="68" spans="2:40" s="6" customFormat="1" ht="14.25" customHeight="1" x14ac:dyDescent="0.25">
      <c r="B68" s="10"/>
      <c r="C68" s="44"/>
      <c r="D68" s="50"/>
      <c r="E68" s="40"/>
      <c r="F68" s="37"/>
      <c r="G68" s="118"/>
      <c r="H68" s="14"/>
      <c r="I68" s="2"/>
      <c r="J68" s="14" t="s">
        <v>88</v>
      </c>
      <c r="K68" s="14" t="s">
        <v>88</v>
      </c>
      <c r="L68" s="14" t="s">
        <v>88</v>
      </c>
      <c r="M68" s="14" t="s">
        <v>86</v>
      </c>
      <c r="N68" s="14" t="s">
        <v>87</v>
      </c>
      <c r="O68" s="14" t="s">
        <v>88</v>
      </c>
      <c r="P68" s="14"/>
      <c r="Q68" s="14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</row>
    <row r="69" spans="2:40" ht="14.25" customHeight="1" x14ac:dyDescent="0.25">
      <c r="J69" s="14" t="s">
        <v>92</v>
      </c>
      <c r="K69" s="14" t="s">
        <v>92</v>
      </c>
      <c r="L69" s="14" t="s">
        <v>92</v>
      </c>
      <c r="M69" s="14" t="s">
        <v>89</v>
      </c>
      <c r="N69" s="14" t="s">
        <v>90</v>
      </c>
      <c r="O69" s="14" t="s">
        <v>91</v>
      </c>
    </row>
    <row r="70" spans="2:40" ht="14.25" customHeight="1" x14ac:dyDescent="0.25">
      <c r="J70" s="14"/>
      <c r="K70" s="14"/>
      <c r="L70" s="14"/>
      <c r="M70" s="14"/>
      <c r="N70" s="14"/>
      <c r="O70" s="14"/>
    </row>
    <row r="71" spans="2:40" ht="14.25" customHeight="1" x14ac:dyDescent="0.25">
      <c r="C71" s="44" t="s">
        <v>93</v>
      </c>
      <c r="D71" s="50" t="s">
        <v>124</v>
      </c>
      <c r="E71" s="36">
        <v>122</v>
      </c>
      <c r="F71" s="37" t="s">
        <v>94</v>
      </c>
      <c r="G71" s="118">
        <v>230</v>
      </c>
      <c r="H71" s="14">
        <v>8</v>
      </c>
      <c r="I71" s="2" t="s">
        <v>95</v>
      </c>
      <c r="J71" s="14" t="s">
        <v>96</v>
      </c>
      <c r="K71" s="14" t="s">
        <v>97</v>
      </c>
      <c r="L71" s="14" t="s">
        <v>98</v>
      </c>
      <c r="M71" s="14" t="s">
        <v>99</v>
      </c>
      <c r="N71" s="14" t="s">
        <v>14</v>
      </c>
      <c r="O71" s="14" t="s">
        <v>57</v>
      </c>
      <c r="P71" s="1" t="s">
        <v>57</v>
      </c>
      <c r="Q71" s="1" t="s">
        <v>18</v>
      </c>
    </row>
    <row r="72" spans="2:40" ht="14.25" customHeight="1" x14ac:dyDescent="0.25">
      <c r="J72" s="14"/>
      <c r="K72" s="14"/>
      <c r="L72" s="14"/>
      <c r="M72" s="14"/>
      <c r="N72" s="14"/>
      <c r="O72" s="14"/>
    </row>
    <row r="73" spans="2:40" s="5" customFormat="1" ht="14.25" customHeight="1" x14ac:dyDescent="0.25">
      <c r="B73" s="9"/>
      <c r="C73" s="46"/>
      <c r="D73" s="52"/>
      <c r="E73" s="42"/>
      <c r="F73" s="43"/>
      <c r="G73" s="122"/>
      <c r="H73" s="19"/>
      <c r="I73" s="2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</row>
    <row r="74" spans="2:40" s="6" customFormat="1" ht="14.25" customHeight="1" x14ac:dyDescent="0.25">
      <c r="B74" s="10"/>
      <c r="C74" s="44" t="s">
        <v>118</v>
      </c>
      <c r="D74" s="50">
        <v>77</v>
      </c>
      <c r="E74" s="40">
        <v>119</v>
      </c>
      <c r="F74" s="37" t="s">
        <v>45</v>
      </c>
      <c r="G74" s="118">
        <v>234</v>
      </c>
      <c r="H74" s="14"/>
      <c r="I74" s="2" t="s">
        <v>46</v>
      </c>
      <c r="J74" s="131" t="s">
        <v>333</v>
      </c>
      <c r="K74" s="132" t="s">
        <v>334</v>
      </c>
      <c r="L74" s="14" t="s">
        <v>47</v>
      </c>
      <c r="M74" s="14" t="s">
        <v>335</v>
      </c>
      <c r="N74" s="14" t="s">
        <v>336</v>
      </c>
      <c r="O74" s="14" t="s">
        <v>337</v>
      </c>
      <c r="P74" s="14" t="s">
        <v>338</v>
      </c>
      <c r="Q74" s="14" t="s">
        <v>18</v>
      </c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</row>
    <row r="75" spans="2:40" s="6" customFormat="1" ht="14.25" customHeight="1" x14ac:dyDescent="0.25">
      <c r="B75" s="10"/>
      <c r="C75" s="44"/>
      <c r="D75" s="50"/>
      <c r="E75" s="40"/>
      <c r="F75" s="37"/>
      <c r="G75" s="118"/>
      <c r="H75" s="14"/>
      <c r="I75" s="2"/>
      <c r="J75" s="14"/>
      <c r="K75" s="14"/>
      <c r="L75" s="14"/>
      <c r="M75" s="14"/>
      <c r="N75" s="14"/>
      <c r="O75" s="14"/>
      <c r="P75" s="14"/>
      <c r="Q75" s="14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</row>
    <row r="76" spans="2:40" s="64" customFormat="1" ht="14.25" customHeight="1" x14ac:dyDescent="0.25">
      <c r="B76" s="65"/>
      <c r="C76" s="66"/>
      <c r="D76" s="67"/>
      <c r="E76" s="68"/>
      <c r="F76" s="69"/>
      <c r="G76" s="123"/>
      <c r="H76" s="70"/>
      <c r="I76" s="71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2:40" s="6" customFormat="1" ht="14.25" customHeight="1" x14ac:dyDescent="0.25">
      <c r="B77" s="10"/>
      <c r="C77" s="44"/>
      <c r="D77" s="50"/>
      <c r="E77" s="40"/>
      <c r="F77" s="37"/>
      <c r="G77" s="118"/>
      <c r="H77" s="53"/>
      <c r="I77" s="54"/>
      <c r="J77" s="53"/>
      <c r="K77" s="53"/>
      <c r="L77" s="53"/>
      <c r="M77" s="53"/>
      <c r="N77" s="53"/>
      <c r="O77" s="53"/>
      <c r="P77" s="53"/>
      <c r="Q77" s="5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</row>
    <row r="78" spans="2:40" s="6" customFormat="1" ht="14.25" customHeight="1" x14ac:dyDescent="0.3">
      <c r="B78" s="10" t="s">
        <v>209</v>
      </c>
      <c r="C78" s="44" t="s">
        <v>160</v>
      </c>
      <c r="D78" s="50" t="s">
        <v>11</v>
      </c>
      <c r="E78" s="36">
        <v>127</v>
      </c>
      <c r="F78" s="37" t="s">
        <v>266</v>
      </c>
      <c r="G78" s="118">
        <v>200</v>
      </c>
      <c r="H78" s="53">
        <v>3</v>
      </c>
      <c r="I78" s="54" t="s">
        <v>185</v>
      </c>
      <c r="J78" s="53">
        <v>0</v>
      </c>
      <c r="K78" s="53">
        <v>0</v>
      </c>
      <c r="L78" s="53" t="s">
        <v>18</v>
      </c>
      <c r="M78" s="99" t="s">
        <v>272</v>
      </c>
      <c r="N78" s="53"/>
      <c r="O78" s="53"/>
      <c r="P78" s="53"/>
      <c r="Q78" s="5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</row>
    <row r="79" spans="2:40" s="6" customFormat="1" ht="14.25" customHeight="1" x14ac:dyDescent="0.25">
      <c r="B79" s="72"/>
      <c r="C79" s="44"/>
      <c r="D79" s="50"/>
      <c r="E79" s="40"/>
      <c r="F79" s="37"/>
      <c r="G79" s="118"/>
      <c r="H79" s="79"/>
      <c r="I79" s="78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</row>
    <row r="80" spans="2:40" s="6" customFormat="1" ht="14.25" customHeight="1" x14ac:dyDescent="0.25">
      <c r="B80" s="10" t="s">
        <v>208</v>
      </c>
      <c r="C80" s="44" t="s">
        <v>187</v>
      </c>
      <c r="D80" s="114" t="str">
        <f>DEC2HEX(E80)</f>
        <v>7E</v>
      </c>
      <c r="E80" s="40">
        <v>126</v>
      </c>
      <c r="F80" s="37" t="str">
        <f>DEC2HEX(G80)</f>
        <v>7E</v>
      </c>
      <c r="G80" s="118">
        <v>126</v>
      </c>
      <c r="H80" s="79">
        <v>5</v>
      </c>
      <c r="I80" s="78" t="s">
        <v>200</v>
      </c>
      <c r="J80" s="79" t="s">
        <v>201</v>
      </c>
      <c r="K80" s="79" t="s">
        <v>202</v>
      </c>
      <c r="L80" s="79" t="s">
        <v>203</v>
      </c>
      <c r="M80" s="79" t="s">
        <v>204</v>
      </c>
      <c r="N80" s="79" t="s">
        <v>18</v>
      </c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</row>
    <row r="81" spans="2:40" s="6" customFormat="1" ht="14.25" customHeight="1" x14ac:dyDescent="0.25">
      <c r="B81" s="72"/>
      <c r="C81" s="44" t="s">
        <v>186</v>
      </c>
      <c r="D81" s="114" t="str">
        <f>DEC2HEX(E81)</f>
        <v>7B</v>
      </c>
      <c r="E81" s="40">
        <v>123</v>
      </c>
      <c r="F81" s="37" t="str">
        <f>DEC2HEX(G81)</f>
        <v>7B</v>
      </c>
      <c r="G81" s="118">
        <v>123</v>
      </c>
      <c r="H81" s="79">
        <v>5</v>
      </c>
      <c r="I81" s="78" t="s">
        <v>206</v>
      </c>
      <c r="J81" s="79" t="s">
        <v>207</v>
      </c>
      <c r="K81" s="79" t="s">
        <v>57</v>
      </c>
      <c r="L81" s="79" t="s">
        <v>57</v>
      </c>
      <c r="M81" s="79" t="s">
        <v>57</v>
      </c>
      <c r="N81" s="79" t="s">
        <v>18</v>
      </c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</row>
    <row r="82" spans="2:40" s="6" customFormat="1" ht="14.25" customHeight="1" x14ac:dyDescent="0.25">
      <c r="B82" s="72"/>
      <c r="C82" s="44" t="s">
        <v>188</v>
      </c>
      <c r="D82" s="114" t="str">
        <f>DEC2HEX(E82)</f>
        <v>79</v>
      </c>
      <c r="E82" s="40">
        <v>121</v>
      </c>
      <c r="F82" s="37" t="str">
        <f>DEC2HEX(G82)</f>
        <v>79</v>
      </c>
      <c r="G82" s="118">
        <v>121</v>
      </c>
      <c r="H82" s="79">
        <v>5</v>
      </c>
      <c r="I82" s="78" t="s">
        <v>57</v>
      </c>
      <c r="J82" s="78" t="s">
        <v>57</v>
      </c>
      <c r="K82" s="78" t="s">
        <v>57</v>
      </c>
      <c r="L82" s="78" t="s">
        <v>57</v>
      </c>
      <c r="M82" s="78" t="s">
        <v>57</v>
      </c>
      <c r="N82" s="79" t="s">
        <v>18</v>
      </c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</row>
    <row r="83" spans="2:40" s="6" customFormat="1" ht="14.25" customHeight="1" x14ac:dyDescent="0.25">
      <c r="B83" s="72"/>
      <c r="C83" s="44" t="s">
        <v>189</v>
      </c>
      <c r="D83" s="114" t="str">
        <f>DEC2HEX(E83)</f>
        <v>78</v>
      </c>
      <c r="E83" s="40">
        <v>120</v>
      </c>
      <c r="F83" s="37" t="str">
        <f>DEC2HEX(G83)</f>
        <v>78</v>
      </c>
      <c r="G83" s="118">
        <v>120</v>
      </c>
      <c r="H83" s="79">
        <v>5</v>
      </c>
      <c r="I83" s="78" t="s">
        <v>57</v>
      </c>
      <c r="J83" s="78" t="s">
        <v>57</v>
      </c>
      <c r="K83" s="78" t="s">
        <v>57</v>
      </c>
      <c r="L83" s="78" t="s">
        <v>57</v>
      </c>
      <c r="M83" s="78" t="s">
        <v>57</v>
      </c>
      <c r="N83" s="79" t="s">
        <v>18</v>
      </c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</row>
    <row r="84" spans="2:40" s="6" customFormat="1" ht="14.25" customHeight="1" x14ac:dyDescent="0.25">
      <c r="B84" s="10"/>
      <c r="C84" s="44"/>
      <c r="D84" s="50"/>
      <c r="E84" s="40"/>
      <c r="F84" s="37"/>
      <c r="G84" s="118"/>
      <c r="H84" s="53"/>
      <c r="I84" s="54"/>
      <c r="J84" s="53"/>
      <c r="K84" s="53"/>
      <c r="L84" s="53"/>
      <c r="M84" s="53"/>
      <c r="N84" s="53"/>
      <c r="O84" s="53"/>
      <c r="P84" s="53"/>
      <c r="Q84" s="5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</row>
    <row r="85" spans="2:40" s="6" customFormat="1" ht="14.25" customHeight="1" x14ac:dyDescent="0.25">
      <c r="B85" s="10" t="s">
        <v>322</v>
      </c>
      <c r="C85" s="44" t="s">
        <v>161</v>
      </c>
      <c r="D85" s="50" t="s">
        <v>11</v>
      </c>
      <c r="E85" s="40">
        <v>127</v>
      </c>
      <c r="F85" s="37" t="s">
        <v>267</v>
      </c>
      <c r="G85" s="118">
        <v>201</v>
      </c>
      <c r="H85" s="53">
        <v>5</v>
      </c>
      <c r="I85" s="54">
        <v>201</v>
      </c>
      <c r="J85" s="53">
        <v>201</v>
      </c>
      <c r="K85" s="53" t="s">
        <v>162</v>
      </c>
      <c r="L85" s="53" t="s">
        <v>163</v>
      </c>
      <c r="M85" s="53" t="s">
        <v>164</v>
      </c>
      <c r="N85" s="53" t="s">
        <v>18</v>
      </c>
      <c r="O85" s="53"/>
      <c r="P85" s="53"/>
      <c r="Q85" s="5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</row>
    <row r="86" spans="2:40" s="6" customFormat="1" ht="14.25" customHeight="1" x14ac:dyDescent="0.25">
      <c r="B86" s="10"/>
      <c r="C86" s="44"/>
      <c r="D86" s="50"/>
      <c r="E86" s="40"/>
      <c r="F86" s="37"/>
      <c r="G86" s="118"/>
      <c r="H86" s="79"/>
      <c r="I86" s="78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</row>
    <row r="87" spans="2:40" s="6" customFormat="1" ht="14.25" customHeight="1" x14ac:dyDescent="0.25">
      <c r="B87" s="10" t="s">
        <v>322</v>
      </c>
      <c r="C87" s="84" t="s">
        <v>205</v>
      </c>
      <c r="D87" s="50" t="s">
        <v>11</v>
      </c>
      <c r="E87" s="40">
        <v>127</v>
      </c>
      <c r="F87" s="37" t="s">
        <v>273</v>
      </c>
      <c r="G87" s="118">
        <v>202</v>
      </c>
      <c r="H87" s="53">
        <v>3</v>
      </c>
      <c r="I87" s="54">
        <v>202</v>
      </c>
      <c r="J87" s="53">
        <v>202</v>
      </c>
      <c r="K87" s="53">
        <v>5</v>
      </c>
      <c r="L87" s="53" t="s">
        <v>18</v>
      </c>
      <c r="M87" s="53"/>
      <c r="N87" s="53"/>
      <c r="O87" s="53"/>
      <c r="P87" s="53"/>
      <c r="Q87" s="5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</row>
    <row r="88" spans="2:40" s="6" customFormat="1" ht="14.25" customHeight="1" x14ac:dyDescent="0.25">
      <c r="B88" s="10"/>
      <c r="C88" s="84"/>
      <c r="D88" s="50"/>
      <c r="E88" s="40"/>
      <c r="F88" s="37"/>
      <c r="G88" s="118"/>
      <c r="H88" s="79"/>
      <c r="I88" s="78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</row>
    <row r="89" spans="2:40" s="6" customFormat="1" ht="14.25" customHeight="1" x14ac:dyDescent="0.25">
      <c r="B89" s="10" t="s">
        <v>271</v>
      </c>
      <c r="C89" s="44" t="s">
        <v>190</v>
      </c>
      <c r="D89" s="50" t="str">
        <f>DEC2HEX(E89)</f>
        <v>7E</v>
      </c>
      <c r="E89" s="40">
        <v>126</v>
      </c>
      <c r="F89" s="37" t="str">
        <f>DEC2HEX(G89)</f>
        <v>CB</v>
      </c>
      <c r="G89" s="118">
        <v>203</v>
      </c>
      <c r="H89" s="53">
        <v>7</v>
      </c>
      <c r="I89" s="54" t="s">
        <v>194</v>
      </c>
      <c r="J89" s="53" t="s">
        <v>195</v>
      </c>
      <c r="K89" s="53" t="s">
        <v>196</v>
      </c>
      <c r="L89" s="53">
        <v>126</v>
      </c>
      <c r="M89" s="53" t="s">
        <v>197</v>
      </c>
      <c r="N89" s="53" t="s">
        <v>198</v>
      </c>
      <c r="O89" s="53" t="s">
        <v>199</v>
      </c>
      <c r="P89" s="53" t="s">
        <v>18</v>
      </c>
      <c r="Q89" s="5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</row>
    <row r="90" spans="2:40" s="6" customFormat="1" ht="14.25" customHeight="1" x14ac:dyDescent="0.25">
      <c r="B90" s="10"/>
      <c r="C90" s="44" t="s">
        <v>191</v>
      </c>
      <c r="D90" s="114" t="str">
        <f>DEC2HEX(E90)</f>
        <v>7B</v>
      </c>
      <c r="E90" s="40">
        <v>123</v>
      </c>
      <c r="F90" s="37" t="str">
        <f>DEC2HEX(G90)</f>
        <v>CB</v>
      </c>
      <c r="G90" s="118">
        <v>203</v>
      </c>
      <c r="H90" s="79">
        <v>7</v>
      </c>
      <c r="I90" s="78" t="s">
        <v>194</v>
      </c>
      <c r="J90" s="79" t="s">
        <v>195</v>
      </c>
      <c r="K90" s="79" t="s">
        <v>196</v>
      </c>
      <c r="L90" s="79">
        <v>123</v>
      </c>
      <c r="M90" s="79" t="s">
        <v>197</v>
      </c>
      <c r="N90" s="79" t="s">
        <v>198</v>
      </c>
      <c r="O90" s="79" t="s">
        <v>199</v>
      </c>
      <c r="P90" s="79" t="s">
        <v>18</v>
      </c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</row>
    <row r="91" spans="2:40" s="6" customFormat="1" ht="14.25" customHeight="1" x14ac:dyDescent="0.25">
      <c r="B91" s="10"/>
      <c r="C91" s="44" t="s">
        <v>192</v>
      </c>
      <c r="D91" s="114" t="str">
        <f>DEC2HEX(E91)</f>
        <v>79</v>
      </c>
      <c r="E91" s="40">
        <v>121</v>
      </c>
      <c r="F91" s="37" t="str">
        <f>DEC2HEX(G91)</f>
        <v>CB</v>
      </c>
      <c r="G91" s="118">
        <v>203</v>
      </c>
      <c r="H91" s="79">
        <v>7</v>
      </c>
      <c r="I91" s="78" t="s">
        <v>194</v>
      </c>
      <c r="J91" s="79" t="s">
        <v>195</v>
      </c>
      <c r="K91" s="79" t="s">
        <v>196</v>
      </c>
      <c r="L91" s="79">
        <v>121</v>
      </c>
      <c r="M91" s="79" t="s">
        <v>197</v>
      </c>
      <c r="N91" s="79" t="s">
        <v>198</v>
      </c>
      <c r="O91" s="79" t="s">
        <v>199</v>
      </c>
      <c r="P91" s="79" t="s">
        <v>18</v>
      </c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</row>
    <row r="92" spans="2:40" s="6" customFormat="1" ht="14.25" customHeight="1" x14ac:dyDescent="0.25">
      <c r="B92" s="10"/>
      <c r="C92" s="44" t="s">
        <v>193</v>
      </c>
      <c r="D92" s="114" t="str">
        <f>DEC2HEX(E92)</f>
        <v>78</v>
      </c>
      <c r="E92" s="40">
        <v>120</v>
      </c>
      <c r="F92" s="37" t="str">
        <f>DEC2HEX(G92)</f>
        <v>CB</v>
      </c>
      <c r="G92" s="118">
        <v>203</v>
      </c>
      <c r="H92" s="79">
        <v>7</v>
      </c>
      <c r="I92" s="78" t="s">
        <v>194</v>
      </c>
      <c r="J92" s="79" t="s">
        <v>195</v>
      </c>
      <c r="K92" s="79" t="s">
        <v>196</v>
      </c>
      <c r="L92" s="126">
        <v>120</v>
      </c>
      <c r="M92" s="79" t="s">
        <v>197</v>
      </c>
      <c r="N92" s="79" t="s">
        <v>198</v>
      </c>
      <c r="O92" s="79" t="s">
        <v>199</v>
      </c>
      <c r="P92" s="79" t="s">
        <v>18</v>
      </c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</row>
    <row r="93" spans="2:40" s="6" customFormat="1" ht="14.25" customHeight="1" x14ac:dyDescent="0.25">
      <c r="B93" s="10"/>
      <c r="C93" s="44"/>
      <c r="D93" s="83"/>
      <c r="E93" s="40"/>
      <c r="F93" s="37"/>
      <c r="G93" s="118"/>
      <c r="H93" s="79"/>
      <c r="I93" s="78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</row>
    <row r="94" spans="2:40" ht="14.25" customHeight="1" x14ac:dyDescent="0.25"/>
    <row r="95" spans="2:40" ht="14.25" customHeight="1" x14ac:dyDescent="0.25">
      <c r="C95" s="60" t="s">
        <v>159</v>
      </c>
      <c r="D95" s="57" t="s">
        <v>158</v>
      </c>
      <c r="E95" s="58"/>
      <c r="F95" s="59" t="s">
        <v>157</v>
      </c>
      <c r="G95" s="123"/>
    </row>
    <row r="96" spans="2:40" x14ac:dyDescent="0.25">
      <c r="B96" s="56" t="s">
        <v>125</v>
      </c>
      <c r="C96" s="55" t="s">
        <v>154</v>
      </c>
      <c r="D96" s="50">
        <v>254</v>
      </c>
      <c r="E96" s="36" t="s">
        <v>12</v>
      </c>
      <c r="F96" s="37">
        <v>253</v>
      </c>
      <c r="G96" s="118" t="s">
        <v>20</v>
      </c>
    </row>
    <row r="97" spans="2:40" x14ac:dyDescent="0.25">
      <c r="B97" s="56"/>
      <c r="C97" s="55"/>
      <c r="H97" s="16"/>
      <c r="I97" s="21"/>
      <c r="J97" s="15"/>
      <c r="K97" s="15"/>
      <c r="L97" s="15"/>
      <c r="M97" s="15"/>
      <c r="N97" s="15"/>
      <c r="O97" s="15"/>
      <c r="P97" s="15"/>
      <c r="Q97" s="15"/>
    </row>
    <row r="98" spans="2:40" x14ac:dyDescent="0.25">
      <c r="B98" s="56" t="s">
        <v>126</v>
      </c>
      <c r="C98" s="55" t="s">
        <v>153</v>
      </c>
      <c r="D98" s="50">
        <v>239</v>
      </c>
      <c r="E98" s="36" t="s">
        <v>39</v>
      </c>
      <c r="F98" s="37">
        <v>237</v>
      </c>
      <c r="G98" s="118" t="s">
        <v>66</v>
      </c>
    </row>
    <row r="99" spans="2:40" x14ac:dyDescent="0.25">
      <c r="B99" s="56"/>
      <c r="C99" s="55"/>
      <c r="H99" s="16"/>
      <c r="I99" s="21"/>
      <c r="J99" s="15"/>
      <c r="K99" s="15"/>
      <c r="L99" s="15"/>
      <c r="M99" s="15"/>
      <c r="N99" s="15"/>
      <c r="O99" s="15"/>
      <c r="P99" s="15"/>
      <c r="Q99" s="15"/>
    </row>
    <row r="100" spans="2:40" x14ac:dyDescent="0.25">
      <c r="B100" s="56" t="s">
        <v>49</v>
      </c>
      <c r="C100" s="55" t="s">
        <v>155</v>
      </c>
      <c r="F100" s="37">
        <v>211</v>
      </c>
      <c r="G100" s="118" t="s">
        <v>120</v>
      </c>
    </row>
    <row r="101" spans="2:40" x14ac:dyDescent="0.25">
      <c r="B101" s="56"/>
      <c r="C101" s="55"/>
      <c r="H101" s="16"/>
      <c r="I101" s="21"/>
      <c r="J101" s="15"/>
      <c r="K101" s="15"/>
      <c r="L101" s="15"/>
      <c r="M101" s="15"/>
      <c r="N101" s="15"/>
      <c r="O101" s="15"/>
      <c r="P101" s="15"/>
      <c r="Q101" s="15"/>
    </row>
    <row r="102" spans="2:40" x14ac:dyDescent="0.25">
      <c r="B102" s="56" t="s">
        <v>106</v>
      </c>
      <c r="C102" s="127" t="s">
        <v>156</v>
      </c>
    </row>
    <row r="105" spans="2:40" s="5" customFormat="1" ht="14.25" customHeight="1" x14ac:dyDescent="0.25">
      <c r="B105" s="9"/>
      <c r="C105" s="46"/>
      <c r="D105" s="52"/>
      <c r="E105" s="42"/>
      <c r="F105" s="43"/>
      <c r="G105" s="122"/>
      <c r="H105" s="19"/>
      <c r="I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</row>
    <row r="106" spans="2:40" s="6" customFormat="1" ht="14.25" customHeight="1" x14ac:dyDescent="0.3">
      <c r="B106" s="10"/>
      <c r="C106" s="44" t="s">
        <v>318</v>
      </c>
      <c r="D106" s="50" t="s">
        <v>11</v>
      </c>
      <c r="E106" s="40">
        <f>HEX2DEC(D106)</f>
        <v>127</v>
      </c>
      <c r="F106" s="37" t="s">
        <v>311</v>
      </c>
      <c r="G106" s="118">
        <f>HEX2DEC(F106)</f>
        <v>208</v>
      </c>
      <c r="H106" s="105" t="s">
        <v>312</v>
      </c>
      <c r="I106" s="133" t="s">
        <v>313</v>
      </c>
      <c r="J106" s="134"/>
      <c r="K106" s="134"/>
      <c r="L106" s="136"/>
      <c r="M106" s="133" t="s">
        <v>314</v>
      </c>
      <c r="N106" s="134"/>
      <c r="O106" s="134"/>
      <c r="P106" s="136"/>
      <c r="Q106" s="133" t="s">
        <v>315</v>
      </c>
      <c r="R106" s="136"/>
      <c r="S106" s="133" t="s">
        <v>316</v>
      </c>
      <c r="T106" s="136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</row>
    <row r="107" spans="2:40" s="6" customFormat="1" ht="14.25" customHeight="1" x14ac:dyDescent="0.3">
      <c r="B107" s="10"/>
      <c r="C107" s="44" t="s">
        <v>319</v>
      </c>
      <c r="D107" s="50" t="s">
        <v>11</v>
      </c>
      <c r="E107" s="40">
        <f>HEX2DEC(D107)</f>
        <v>127</v>
      </c>
      <c r="F107" s="37">
        <v>64</v>
      </c>
      <c r="G107" s="118">
        <f>HEX2DEC(F107)</f>
        <v>100</v>
      </c>
      <c r="H107" s="111">
        <v>16</v>
      </c>
      <c r="I107" s="133" t="s">
        <v>320</v>
      </c>
      <c r="J107" s="134"/>
      <c r="K107" s="134"/>
      <c r="L107" s="134"/>
      <c r="M107" s="135"/>
      <c r="N107" s="135"/>
      <c r="O107" s="135"/>
      <c r="P107" s="136"/>
      <c r="Q107" s="133" t="s">
        <v>321</v>
      </c>
      <c r="R107" s="134"/>
      <c r="S107" s="134"/>
      <c r="T107" s="134"/>
      <c r="U107" s="135"/>
      <c r="V107" s="135"/>
      <c r="W107" s="135"/>
      <c r="X107" s="136"/>
      <c r="Y107" s="111" t="s">
        <v>18</v>
      </c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</row>
    <row r="108" spans="2:40" s="64" customFormat="1" ht="14.25" customHeight="1" x14ac:dyDescent="0.25">
      <c r="B108" s="65"/>
      <c r="C108" s="66"/>
      <c r="D108" s="67"/>
      <c r="E108" s="68"/>
      <c r="F108" s="69"/>
      <c r="G108" s="123"/>
      <c r="H108" s="70"/>
      <c r="I108" s="71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2:40" s="5" customFormat="1" ht="14.25" customHeight="1" x14ac:dyDescent="0.25">
      <c r="B109" s="9"/>
      <c r="C109" s="46"/>
      <c r="D109" s="114"/>
      <c r="E109" s="40"/>
      <c r="F109" s="43"/>
      <c r="G109" s="122"/>
      <c r="H109" s="19"/>
      <c r="I109" s="2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</row>
    <row r="110" spans="2:40" s="6" customFormat="1" ht="14.25" customHeight="1" x14ac:dyDescent="0.25">
      <c r="B110" s="10"/>
      <c r="C110" s="44" t="s">
        <v>346</v>
      </c>
      <c r="D110" s="114" t="s">
        <v>11</v>
      </c>
      <c r="E110" s="40">
        <f>HEX2DEC(D110)</f>
        <v>127</v>
      </c>
      <c r="F110" s="37">
        <v>79</v>
      </c>
      <c r="G110" s="118">
        <f>HEX2DEC(F110)</f>
        <v>121</v>
      </c>
      <c r="H110" s="111" t="s">
        <v>328</v>
      </c>
      <c r="I110" s="110" t="s">
        <v>329</v>
      </c>
      <c r="J110" s="112" t="s">
        <v>330</v>
      </c>
      <c r="K110" s="112" t="s">
        <v>331</v>
      </c>
      <c r="L110" s="128" t="s">
        <v>332</v>
      </c>
      <c r="M110" s="113" t="s">
        <v>317</v>
      </c>
      <c r="N110" s="111" t="s">
        <v>18</v>
      </c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</row>
    <row r="111" spans="2:40" s="6" customFormat="1" ht="14.25" customHeight="1" x14ac:dyDescent="0.25">
      <c r="B111" s="10"/>
      <c r="C111" s="44" t="s">
        <v>340</v>
      </c>
      <c r="D111" s="114" t="s">
        <v>11</v>
      </c>
      <c r="E111" s="40">
        <f>HEX2DEC(D111)</f>
        <v>127</v>
      </c>
      <c r="F111" s="37" t="s">
        <v>341</v>
      </c>
      <c r="G111" s="118">
        <f>HEX2DEC(F111)</f>
        <v>221</v>
      </c>
      <c r="H111" s="130" t="s">
        <v>345</v>
      </c>
      <c r="I111" s="110" t="s">
        <v>342</v>
      </c>
      <c r="J111" s="111" t="s">
        <v>343</v>
      </c>
      <c r="K111" s="111" t="s">
        <v>331</v>
      </c>
      <c r="L111" s="130" t="s">
        <v>332</v>
      </c>
      <c r="M111" s="113" t="s">
        <v>317</v>
      </c>
      <c r="N111" s="130" t="s">
        <v>344</v>
      </c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</row>
    <row r="112" spans="2:40" s="64" customFormat="1" ht="14.25" customHeight="1" x14ac:dyDescent="0.25">
      <c r="B112" s="65"/>
      <c r="C112" s="66"/>
      <c r="D112" s="67"/>
      <c r="E112" s="68"/>
      <c r="F112" s="69"/>
      <c r="G112" s="123"/>
      <c r="H112" s="70"/>
      <c r="I112" s="71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4" spans="3:11" x14ac:dyDescent="0.25">
      <c r="C114" s="44" t="s">
        <v>326</v>
      </c>
      <c r="D114" s="50" t="str">
        <f>DEC2HEX(E114)</f>
        <v>7B</v>
      </c>
      <c r="E114" s="36">
        <v>123</v>
      </c>
      <c r="F114" s="37" t="str">
        <f>DEC2HEX(G114)</f>
        <v>A0</v>
      </c>
      <c r="G114" s="118">
        <v>160</v>
      </c>
      <c r="H114" s="14">
        <v>2</v>
      </c>
      <c r="I114" s="2" t="s">
        <v>324</v>
      </c>
      <c r="J114" s="1" t="s">
        <v>325</v>
      </c>
      <c r="K114" s="1" t="s">
        <v>18</v>
      </c>
    </row>
  </sheetData>
  <mergeCells count="17">
    <mergeCell ref="D4:E4"/>
    <mergeCell ref="F4:G4"/>
    <mergeCell ref="I34:J34"/>
    <mergeCell ref="K34:L34"/>
    <mergeCell ref="M34:N34"/>
    <mergeCell ref="I6:J6"/>
    <mergeCell ref="L6:M6"/>
    <mergeCell ref="N8:O8"/>
    <mergeCell ref="M12:N12"/>
    <mergeCell ref="K12:L12"/>
    <mergeCell ref="I12:J12"/>
    <mergeCell ref="I107:P107"/>
    <mergeCell ref="Q107:X107"/>
    <mergeCell ref="I106:L106"/>
    <mergeCell ref="M106:P106"/>
    <mergeCell ref="Q106:R106"/>
    <mergeCell ref="S106:T106"/>
  </mergeCells>
  <pageMargins left="0.70866141732283472" right="0.70866141732283472" top="0.74803149606299213" bottom="0.74803149606299213" header="0.31496062992125984" footer="0.31496062992125984"/>
  <pageSetup scale="54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8D69F7049F5C4D941A1ED43A3EBF4E" ma:contentTypeVersion="7" ma:contentTypeDescription="Ein neues Dokument erstellen." ma:contentTypeScope="" ma:versionID="6358b93c66be89da512ed1b0037fb663">
  <xsd:schema xmlns:xsd="http://www.w3.org/2001/XMLSchema" xmlns:xs="http://www.w3.org/2001/XMLSchema" xmlns:p="http://schemas.microsoft.com/office/2006/metadata/properties" xmlns:ns2="ac7999f6-dd20-429f-9c50-d27a0c8de317" targetNamespace="http://schemas.microsoft.com/office/2006/metadata/properties" ma:root="true" ma:fieldsID="7603896104695ce44c6e748634a25e45" ns2:_="">
    <xsd:import namespace="ac7999f6-dd20-429f-9c50-d27a0c8de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999f6-dd20-429f-9c50-d27a0c8de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8B9148-C797-4C6B-A280-0738F64421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4BA2AD-7737-4D5E-9A5C-0001377CD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7999f6-dd20-429f-9c50-d27a0c8de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18C333-41DD-4AE5-A5E3-DF6F4E4DF526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ac7999f6-dd20-429f-9c50-d27a0c8de31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PGN</vt:lpstr>
      <vt:lpstr>PGN!Print_Area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</cp:lastModifiedBy>
  <cp:revision/>
  <cp:lastPrinted>2022-04-21T18:11:43Z</cp:lastPrinted>
  <dcterms:created xsi:type="dcterms:W3CDTF">2021-03-14T19:29:08Z</dcterms:created>
  <dcterms:modified xsi:type="dcterms:W3CDTF">2025-01-14T15:47:41Z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0x010100168D69F7049F5C4D941A1ED43A3EBF4E</vt:lpwstr>
  </property>
</Properties>
</file>